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D:\0 - Sites\BI - Cartas Convites\backend\"/>
    </mc:Choice>
  </mc:AlternateContent>
  <xr:revisionPtr revIDLastSave="0" documentId="13_ncr:1_{B64915BC-8DD6-41A6-B0F2-B4E620C3A047}" xr6:coauthVersionLast="47" xr6:coauthVersionMax="47" xr10:uidLastSave="{00000000-0000-0000-0000-000000000000}"/>
  <bookViews>
    <workbookView xWindow="-13500" yWindow="2370" windowWidth="13710" windowHeight="11295" xr2:uid="{00000000-000D-0000-FFFF-FFFF00000000}"/>
  </bookViews>
  <sheets>
    <sheet name="CARTAS CONVITE" sheetId="2" r:id="rId1"/>
    <sheet name="GRAFICOS" sheetId="7" r:id="rId2"/>
    <sheet name="BASE 2024" sheetId="5" state="hidden" r:id="rId3"/>
    <sheet name="AUX" sheetId="6" r:id="rId4"/>
    <sheet name="Planilha1" sheetId="3" state="hidden" r:id="rId5"/>
  </sheets>
  <externalReferences>
    <externalReference r:id="rId6"/>
  </externalReferences>
  <definedNames>
    <definedName name="_xlnm._FilterDatabase" localSheetId="0" hidden="1">'CARTAS CONVITE'!$A$1:$AE$8</definedName>
    <definedName name="Z_0A04BE92_F48D_4978_8B92_37BF54A5756C_.wvu.FilterData" localSheetId="0" hidden="1">'CARTAS CONVITE'!$D$1:$AE$8</definedName>
    <definedName name="Z_1C22F7F7_9579_4EB5_A8CA_D350C0762604_.wvu.Cols" localSheetId="0" hidden="1">'CARTAS CONVITE'!$G:$G,'CARTAS CONVITE'!#REF!,'CARTAS CONVITE'!#REF!,'CARTAS CONVITE'!$P:$P</definedName>
    <definedName name="Z_1C22F7F7_9579_4EB5_A8CA_D350C0762604_.wvu.FilterData" localSheetId="0" hidden="1">'CARTAS CONVITE'!$A$1:$AE$8</definedName>
    <definedName name="Z_26776425_60FB_455C_9ADA_788F33EED28B_.wvu.FilterData" localSheetId="0" hidden="1">'CARTAS CONVITE'!$D$1:$AE$8</definedName>
    <definedName name="Z_362E84E2_8AFF_423C_A554_5ADC2CF2A51F_.wvu.Cols" localSheetId="0" hidden="1">'CARTAS CONVITE'!$G:$G,'CARTAS CONVITE'!#REF!,'CARTAS CONVITE'!#REF!,'CARTAS CONVITE'!$P:$P</definedName>
    <definedName name="Z_362E84E2_8AFF_423C_A554_5ADC2CF2A51F_.wvu.FilterData" localSheetId="0" hidden="1">'CARTAS CONVITE'!$A$1:$AE$8</definedName>
    <definedName name="Z_37308907_D2D5_43FA_B91E_3BE0E07EB7BF_.wvu.FilterData" localSheetId="0" hidden="1">'CARTAS CONVITE'!$D$1:$AE$8</definedName>
    <definedName name="Z_385C5B50_11A9_4B35_8A00_36E79603E2AA_.wvu.FilterData" localSheetId="0" hidden="1">'CARTAS CONVITE'!$D$1:$AE$8</definedName>
    <definedName name="Z_4851D30D_70CC_42AC_B172_191FDE9985B7_.wvu.Cols" localSheetId="0" hidden="1">'CARTAS CONVITE'!$G:$G,'CARTAS CONVITE'!$J:$M,'CARTAS CONVITE'!$P:$P,'CARTAS CONVITE'!$R:$Z</definedName>
    <definedName name="Z_4851D30D_70CC_42AC_B172_191FDE9985B7_.wvu.FilterData" localSheetId="0" hidden="1">'CARTAS CONVITE'!$A$1:$AE$8</definedName>
    <definedName name="Z_536C1A9A_2034_46CE_80F7_88E11FC92152_.wvu.FilterData" localSheetId="0" hidden="1">'CARTAS CONVITE'!$D$1:$AE$8</definedName>
    <definedName name="Z_5B1F13AB_E7E1_4EF1_B983_0A682913CBA9_.wvu.FilterData" localSheetId="0" hidden="1">'CARTAS CONVITE'!$D$1:$AE$8</definedName>
    <definedName name="Z_7D35BAEE_8EE2_402A_B84A_EF76FEDE37F9_.wvu.FilterData" localSheetId="0" hidden="1">'CARTAS CONVITE'!$D$1:$AE$8</definedName>
    <definedName name="Z_A55CA4EA_CA92_4CB7_B83E_69BD10999A47_.wvu.FilterData" localSheetId="0" hidden="1">'CARTAS CONVITE'!$D$1:$AE$8</definedName>
    <definedName name="Z_B3DC9F61_6F8B_4053_A6D8_3CCB07FE231B_.wvu.Cols" localSheetId="0" hidden="1">'CARTAS CONVITE'!$G:$G,'CARTAS CONVITE'!#REF!,'CARTAS CONVITE'!#REF!,'CARTAS CONVITE'!$P:$P</definedName>
    <definedName name="Z_B3DC9F61_6F8B_4053_A6D8_3CCB07FE231B_.wvu.FilterData" localSheetId="0" hidden="1">'CARTAS CONVITE'!$A$1:$AE$8</definedName>
    <definedName name="Z_EEFE37A5_6D02_420B_A286_53D28451ED92_.wvu.FilterData" localSheetId="0" hidden="1">'CARTAS CONVITE'!$D$1:$AE$8</definedName>
    <definedName name="Z_F0EBEA60_E15B_4027_AD07_956FA8BC900A_.wvu.FilterData" localSheetId="0" hidden="1">'CARTAS CONVITE'!$D$1:$AE$8</definedName>
    <definedName name="Z_F4DA6BDC_F45B_40AD_8B61_EF621B910826_.wvu.Cols" localSheetId="0" hidden="1">'CARTAS CONVITE'!$G:$G,'CARTAS CONVITE'!#REF!,'CARTAS CONVITE'!#REF!,'CARTAS CONVITE'!$P:$P</definedName>
    <definedName name="Z_F4DA6BDC_F45B_40AD_8B61_EF621B910826_.wvu.FilterData" localSheetId="0" hidden="1">'CARTAS CONVITE'!$A$1:$AE$8</definedName>
    <definedName name="Z_F845740C_472F_4B8F_9D0F_9EB46AD071D4_.wvu.FilterData" localSheetId="0" hidden="1">'CARTAS CONVITE'!$D$1:$AE$8</definedName>
  </definedNames>
  <calcPr calcId="191028"/>
  <customWorkbookViews>
    <customWorkbookView name="Bruno Raphael Santos  - Modo de exibição pessoal" guid="{1C22F7F7-9579-4EB5-A8CA-D350C0762604}" mergeInterval="0" personalView="1" maximized="1" xWindow="-8" yWindow="-8" windowWidth="1936" windowHeight="1048" activeSheetId="1"/>
    <customWorkbookView name="Eduardo Souza Cunha  - Modo de exibição pessoal" guid="{4851D30D-70CC-42AC-B172-191FDE9985B7}" mergeInterval="0" personalView="1" maximized="1" xWindow="-9" yWindow="-9" windowWidth="1938" windowHeight="1038" activeSheetId="2"/>
    <customWorkbookView name="Arlan Rodrigo Da Silva Dos Santos  - Modo de exibição pessoal" guid="{362E84E2-8AFF-423C-A554-5ADC2CF2A51F}" mergeInterval="0" personalView="1" maximized="1" xWindow="-8" yWindow="-8" windowWidth="1936" windowHeight="1048" activeSheetId="2"/>
    <customWorkbookView name="Lucas Henrique Lara Rodrigues  - Modo de exibição pessoal" guid="{B3DC9F61-6F8B-4053-A6D8-3CCB07FE231B}" mergeInterval="0" personalView="1" maximized="1" xWindow="-8" yWindow="-8" windowWidth="1936" windowHeight="1048" activeSheetId="2"/>
    <customWorkbookView name="Lucas Batista Cavalcante  - Modo de exibição pessoal" guid="{F4DA6BDC-F45B-40AD-8B61-EF621B910826}" mergeInterval="0" personalView="1" maximized="1" xWindow="-8" yWindow="-8" windowWidth="1936" windowHeight="1048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/>
  <c r="A7" i="2"/>
  <c r="A6" i="2"/>
  <c r="A5" i="2"/>
  <c r="A4" i="2"/>
  <c r="A3" i="2"/>
  <c r="A2" i="2"/>
  <c r="B2" i="2"/>
  <c r="B3" i="2"/>
  <c r="B4" i="2"/>
  <c r="B5" i="2"/>
  <c r="B6" i="2"/>
  <c r="B7" i="2"/>
  <c r="B8" i="2"/>
  <c r="M8" i="2"/>
  <c r="C8" i="2"/>
  <c r="U8" i="2"/>
  <c r="M7" i="2"/>
  <c r="C7" i="2"/>
  <c r="U7" i="2"/>
  <c r="M6" i="2"/>
  <c r="C6" i="2"/>
  <c r="U6" i="2"/>
  <c r="M5" i="2"/>
  <c r="C5" i="2"/>
  <c r="U5" i="2"/>
  <c r="M4" i="2"/>
  <c r="C4" i="2"/>
  <c r="U4" i="2"/>
  <c r="M3" i="2"/>
  <c r="C3" i="2"/>
  <c r="U3" i="2"/>
  <c r="M2" i="2"/>
  <c r="D2" i="2"/>
  <c r="D3" i="2" s="1"/>
  <c r="D4" i="2" s="1"/>
  <c r="D5" i="2" s="1"/>
  <c r="D6" i="2" s="1"/>
  <c r="D7" i="2" s="1"/>
  <c r="D8" i="2" s="1"/>
  <c r="B82" i="5" l="1"/>
  <c r="C82" i="5" s="1"/>
  <c r="B81" i="5"/>
  <c r="L80" i="5"/>
  <c r="B80" i="5"/>
  <c r="C80" i="5" s="1"/>
  <c r="L79" i="5"/>
  <c r="B79" i="5"/>
  <c r="C79" i="5" s="1"/>
  <c r="L78" i="5"/>
  <c r="B78" i="5"/>
  <c r="C78" i="5" s="1"/>
  <c r="L77" i="5"/>
  <c r="B77" i="5"/>
  <c r="C77" i="5" s="1"/>
  <c r="L76" i="5"/>
  <c r="B76" i="5"/>
  <c r="C76" i="5" s="1"/>
  <c r="L75" i="5"/>
  <c r="B75" i="5"/>
  <c r="C75" i="5" s="1"/>
  <c r="L74" i="5"/>
  <c r="B74" i="5"/>
  <c r="C74" i="5" s="1"/>
  <c r="L73" i="5"/>
  <c r="B73" i="5"/>
  <c r="C73" i="5" s="1"/>
  <c r="L72" i="5"/>
  <c r="B72" i="5"/>
  <c r="C72" i="5" s="1"/>
  <c r="L71" i="5"/>
  <c r="B71" i="5"/>
  <c r="C71" i="5" s="1"/>
  <c r="L70" i="5"/>
  <c r="B70" i="5"/>
  <c r="C70" i="5" s="1"/>
  <c r="L69" i="5"/>
  <c r="B69" i="5"/>
  <c r="C69" i="5" s="1"/>
  <c r="L68" i="5"/>
  <c r="B68" i="5"/>
  <c r="C68" i="5" s="1"/>
  <c r="L67" i="5"/>
  <c r="B67" i="5"/>
  <c r="C67" i="5" s="1"/>
  <c r="L66" i="5"/>
  <c r="I66" i="5"/>
  <c r="B66" i="5"/>
  <c r="C66" i="5" s="1"/>
  <c r="L65" i="5"/>
  <c r="B65" i="5"/>
  <c r="C65" i="5" s="1"/>
  <c r="L64" i="5"/>
  <c r="B64" i="5"/>
  <c r="C64" i="5" s="1"/>
  <c r="L63" i="5"/>
  <c r="B63" i="5"/>
  <c r="C63" i="5" s="1"/>
  <c r="L62" i="5"/>
  <c r="B62" i="5"/>
  <c r="C62" i="5" s="1"/>
  <c r="L61" i="5"/>
  <c r="B61" i="5"/>
  <c r="C61" i="5" s="1"/>
  <c r="L60" i="5"/>
  <c r="B60" i="5"/>
  <c r="C60" i="5" s="1"/>
  <c r="L59" i="5"/>
  <c r="B59" i="5"/>
  <c r="C59" i="5" s="1"/>
  <c r="L58" i="5"/>
  <c r="B58" i="5"/>
  <c r="C58" i="5" s="1"/>
  <c r="L57" i="5"/>
  <c r="I57" i="5"/>
  <c r="B57" i="5"/>
  <c r="C57" i="5" s="1"/>
  <c r="L56" i="5"/>
  <c r="B56" i="5"/>
  <c r="C56" i="5" s="1"/>
  <c r="L55" i="5"/>
  <c r="B55" i="5"/>
  <c r="C55" i="5" s="1"/>
  <c r="L54" i="5"/>
  <c r="B54" i="5"/>
  <c r="C54" i="5" s="1"/>
  <c r="L53" i="5"/>
  <c r="B53" i="5"/>
  <c r="C53" i="5" s="1"/>
  <c r="L52" i="5"/>
  <c r="B52" i="5"/>
  <c r="C52" i="5" s="1"/>
  <c r="L51" i="5"/>
  <c r="B51" i="5"/>
  <c r="C51" i="5" s="1"/>
  <c r="L50" i="5"/>
  <c r="B50" i="5"/>
  <c r="C50" i="5" s="1"/>
  <c r="L49" i="5"/>
  <c r="B49" i="5"/>
  <c r="C49" i="5" s="1"/>
  <c r="L48" i="5"/>
  <c r="B48" i="5"/>
  <c r="C48" i="5" s="1"/>
  <c r="L47" i="5"/>
  <c r="B47" i="5"/>
  <c r="C47" i="5" s="1"/>
  <c r="L46" i="5"/>
  <c r="B46" i="5"/>
  <c r="C46" i="5" s="1"/>
  <c r="L45" i="5"/>
  <c r="B45" i="5"/>
  <c r="C45" i="5" s="1"/>
  <c r="L44" i="5"/>
  <c r="B44" i="5"/>
  <c r="C44" i="5" s="1"/>
  <c r="L43" i="5"/>
  <c r="B43" i="5"/>
  <c r="C43" i="5" s="1"/>
  <c r="L42" i="5"/>
  <c r="B42" i="5"/>
  <c r="C42" i="5" s="1"/>
  <c r="L41" i="5"/>
  <c r="B41" i="5"/>
  <c r="C41" i="5" s="1"/>
  <c r="L40" i="5"/>
  <c r="B40" i="5"/>
  <c r="C40" i="5" s="1"/>
  <c r="L39" i="5"/>
  <c r="B39" i="5"/>
  <c r="C39" i="5" s="1"/>
  <c r="L38" i="5"/>
  <c r="B38" i="5"/>
  <c r="C38" i="5" s="1"/>
  <c r="L37" i="5"/>
  <c r="B37" i="5"/>
  <c r="C37" i="5" s="1"/>
  <c r="L36" i="5"/>
  <c r="B36" i="5"/>
  <c r="C36" i="5" s="1"/>
  <c r="L35" i="5"/>
  <c r="B35" i="5"/>
  <c r="C35" i="5" s="1"/>
  <c r="L34" i="5"/>
  <c r="B34" i="5"/>
  <c r="C34" i="5" s="1"/>
  <c r="L33" i="5"/>
  <c r="B33" i="5"/>
  <c r="C33" i="5" s="1"/>
  <c r="L32" i="5"/>
  <c r="B32" i="5"/>
  <c r="C32" i="5" s="1"/>
  <c r="L31" i="5"/>
  <c r="B31" i="5"/>
  <c r="C31" i="5" s="1"/>
  <c r="L30" i="5"/>
  <c r="B30" i="5"/>
  <c r="C30" i="5" s="1"/>
  <c r="L29" i="5"/>
  <c r="B29" i="5"/>
  <c r="C29" i="5" s="1"/>
  <c r="L28" i="5"/>
  <c r="B28" i="5"/>
  <c r="C28" i="5" s="1"/>
  <c r="L27" i="5"/>
  <c r="B27" i="5"/>
  <c r="C27" i="5" s="1"/>
  <c r="L26" i="5"/>
  <c r="B26" i="5"/>
  <c r="C26" i="5" s="1"/>
  <c r="L25" i="5"/>
  <c r="B25" i="5"/>
  <c r="C25" i="5" s="1"/>
  <c r="L24" i="5"/>
  <c r="B24" i="5"/>
  <c r="C24" i="5" s="1"/>
  <c r="L23" i="5"/>
  <c r="B23" i="5"/>
  <c r="C23" i="5" s="1"/>
  <c r="L22" i="5"/>
  <c r="B22" i="5"/>
  <c r="C22" i="5" s="1"/>
  <c r="L21" i="5"/>
  <c r="B21" i="5"/>
  <c r="C21" i="5" s="1"/>
  <c r="L20" i="5"/>
  <c r="B20" i="5"/>
  <c r="C20" i="5" s="1"/>
  <c r="L19" i="5"/>
  <c r="B19" i="5"/>
  <c r="C19" i="5" s="1"/>
  <c r="L18" i="5"/>
  <c r="B18" i="5"/>
  <c r="C18" i="5" s="1"/>
  <c r="L17" i="5"/>
  <c r="B17" i="5"/>
  <c r="C17" i="5" s="1"/>
  <c r="L16" i="5"/>
  <c r="B16" i="5"/>
  <c r="C16" i="5" s="1"/>
  <c r="L15" i="5"/>
  <c r="B15" i="5"/>
  <c r="C15" i="5" s="1"/>
  <c r="L14" i="5"/>
  <c r="B14" i="5"/>
  <c r="C14" i="5" s="1"/>
  <c r="L13" i="5"/>
  <c r="B13" i="5"/>
  <c r="C13" i="5" s="1"/>
  <c r="L12" i="5"/>
  <c r="B12" i="5"/>
  <c r="C12" i="5" s="1"/>
  <c r="L11" i="5"/>
  <c r="B11" i="5"/>
  <c r="C11" i="5" s="1"/>
  <c r="L10" i="5"/>
  <c r="B10" i="5"/>
  <c r="C10" i="5" s="1"/>
  <c r="L9" i="5"/>
  <c r="B9" i="5"/>
  <c r="C9" i="5" s="1"/>
  <c r="L8" i="5"/>
  <c r="B8" i="5"/>
  <c r="C8" i="5" s="1"/>
  <c r="L7" i="5"/>
  <c r="B7" i="5"/>
  <c r="C7" i="5" s="1"/>
  <c r="L6" i="5"/>
  <c r="B6" i="5"/>
  <c r="C6" i="5" s="1"/>
  <c r="L5" i="5"/>
  <c r="B5" i="5"/>
  <c r="C5" i="5" s="1"/>
  <c r="U2" i="2"/>
  <c r="C2" i="2"/>
</calcChain>
</file>

<file path=xl/sharedStrings.xml><?xml version="1.0" encoding="utf-8"?>
<sst xmlns="http://schemas.openxmlformats.org/spreadsheetml/2006/main" count="959" uniqueCount="585">
  <si>
    <t>STATUS</t>
  </si>
  <si>
    <t>Tempo 
Pendente</t>
  </si>
  <si>
    <t>TEMPO P/ FECHAMENTO</t>
  </si>
  <si>
    <t>Seq.</t>
  </si>
  <si>
    <t>DATA ENVIO COMPRAS</t>
  </si>
  <si>
    <t>Nº CARTA CONVITE</t>
  </si>
  <si>
    <t>PACOTES</t>
  </si>
  <si>
    <t>ÁREA</t>
  </si>
  <si>
    <t>RESPONSÁVEL</t>
  </si>
  <si>
    <t>TIPO DE MANUTENÇÃO</t>
  </si>
  <si>
    <t>COMPRADOR</t>
  </si>
  <si>
    <t>LISTA</t>
  </si>
  <si>
    <t>PRAZO FINALIZAR</t>
  </si>
  <si>
    <t>EQUALIZAÇÃO</t>
  </si>
  <si>
    <t>PROPOSTA TÉCNICA RESPONDIDA?</t>
  </si>
  <si>
    <t>PENDENTE</t>
  </si>
  <si>
    <t>DATA DO PEDIDO</t>
  </si>
  <si>
    <t>NR. PEDIDO</t>
  </si>
  <si>
    <t>VALOR</t>
  </si>
  <si>
    <t>OBSERVAÇÕES</t>
  </si>
  <si>
    <t>PROPOSTAS RECEBIDAS</t>
  </si>
  <si>
    <t>FORNECEDOR A</t>
  </si>
  <si>
    <t>FORNECEDOR B</t>
  </si>
  <si>
    <t>FORNECEDOR C</t>
  </si>
  <si>
    <t>FORNECEDOR D</t>
  </si>
  <si>
    <t>FORNECEDOR E</t>
  </si>
  <si>
    <t>FORNECEDOR F</t>
  </si>
  <si>
    <t>FORNECEDOR G</t>
  </si>
  <si>
    <t>OBS</t>
  </si>
  <si>
    <t>EMPRESA NEGOCIADA</t>
  </si>
  <si>
    <t>SC - Solicitação</t>
  </si>
  <si>
    <t>001-0/26</t>
  </si>
  <si>
    <t>TRATAMENTO DE CALDO</t>
  </si>
  <si>
    <t>Rodrigo Zavatti</t>
  </si>
  <si>
    <t>Manut. Externa</t>
  </si>
  <si>
    <t>Jhonatan</t>
  </si>
  <si>
    <t>Críticos</t>
  </si>
  <si>
    <t>Compras</t>
  </si>
  <si>
    <t>002-0/26</t>
  </si>
  <si>
    <t>MOENDA A</t>
  </si>
  <si>
    <t>Sim</t>
  </si>
  <si>
    <t>HD</t>
  </si>
  <si>
    <t>003-0/26</t>
  </si>
  <si>
    <t>Coordenador</t>
  </si>
  <si>
    <t>004-0/26</t>
  </si>
  <si>
    <t>CALDEIRAS</t>
  </si>
  <si>
    <t>005-0/26</t>
  </si>
  <si>
    <t>MOENDAS</t>
  </si>
  <si>
    <t>006-0/26</t>
  </si>
  <si>
    <t>007-0/26</t>
  </si>
  <si>
    <t>CARTAS:</t>
  </si>
  <si>
    <t>FINALIZADAS</t>
  </si>
  <si>
    <t>AGUARDANDO RETORNO</t>
  </si>
  <si>
    <t xml:space="preserve">Seq. </t>
  </si>
  <si>
    <t>CRÍTICIDADE</t>
  </si>
  <si>
    <t>EMPRESAS PARTICIPANTES</t>
  </si>
  <si>
    <t>TOTAL</t>
  </si>
  <si>
    <t>ENVIO
COMPRAS</t>
  </si>
  <si>
    <t>PRAZO
RETORNO</t>
  </si>
  <si>
    <t>ENVIO
EQUALIZAÇÃO</t>
  </si>
  <si>
    <t>OBSERVAÇÕES4</t>
  </si>
  <si>
    <t>EMPRESA
NEGOCIADA</t>
  </si>
  <si>
    <t>SC</t>
  </si>
  <si>
    <t>INCLUSO NA
PLANILHA?</t>
  </si>
  <si>
    <t>OK</t>
  </si>
  <si>
    <t>CORRENTES ARRASTE</t>
  </si>
  <si>
    <t>Alta</t>
  </si>
  <si>
    <t>Ello/General Chains/
Linksteel/Pro-link/Tetracon</t>
  </si>
  <si>
    <t>PROLINK</t>
  </si>
  <si>
    <t>GENERAL CHAINS</t>
  </si>
  <si>
    <t>ELLO CORRENTS</t>
  </si>
  <si>
    <t>LINKSTEEL</t>
  </si>
  <si>
    <t>TETRACOM</t>
  </si>
  <si>
    <t>TETRACOM/
LINKSTEEL</t>
  </si>
  <si>
    <t>561148/561372/561150/561375
561198/561199/561207/561216
561219/561220/561222/561254</t>
  </si>
  <si>
    <t>SIM</t>
  </si>
  <si>
    <t xml:space="preserve">MANUTENÇÃO EM DESFIBRADOR </t>
  </si>
  <si>
    <t>Dedini/Dourados/
Magister/Mefsa/Moreno/
Simisa/Theodor</t>
  </si>
  <si>
    <t>DEDINI 
(DECLINOU)</t>
  </si>
  <si>
    <t>DOURADOS 
(DECLINOU)</t>
  </si>
  <si>
    <t>MEFSA</t>
  </si>
  <si>
    <t>THEODOR</t>
  </si>
  <si>
    <t>MORENO
(DECLINOU)</t>
  </si>
  <si>
    <t>MAGISTER</t>
  </si>
  <si>
    <t>SIMISA
RESPONDEU P/ COMPRAS</t>
  </si>
  <si>
    <t>562351/565991</t>
  </si>
  <si>
    <t>MANUTENÇÃO DO SISTEMA HIDRAULICO  MOENDA A e B</t>
  </si>
  <si>
    <t>Média</t>
  </si>
  <si>
    <t>Desidério/RRV/Renova/
Fatto/Oriente</t>
  </si>
  <si>
    <t>DESIDÉRIO</t>
  </si>
  <si>
    <t>ORIENTE</t>
  </si>
  <si>
    <t>RENOVA</t>
  </si>
  <si>
    <t>RRV</t>
  </si>
  <si>
    <t>FATTO</t>
  </si>
  <si>
    <t>ORIENT</t>
  </si>
  <si>
    <t>562078/562076</t>
  </si>
  <si>
    <t>MANUTENÇÃO CENTRIFUGAS KONT</t>
  </si>
  <si>
    <t>Baixa</t>
  </si>
  <si>
    <r>
      <t>Ad Service/</t>
    </r>
    <r>
      <rPr>
        <b/>
        <sz val="11"/>
        <color rgb="FFFF0000"/>
        <rFont val="Calibri"/>
        <family val="2"/>
        <scheme val="minor"/>
      </rPr>
      <t>Ferramaq</t>
    </r>
    <r>
      <rPr>
        <sz val="11"/>
        <color theme="1"/>
        <rFont val="Calibri"/>
        <family val="2"/>
        <scheme val="minor"/>
      </rPr>
      <t>/Renova/
TJR/Vetek/Vibromaq/Vibrotec</t>
    </r>
  </si>
  <si>
    <t>FERREMAQ</t>
  </si>
  <si>
    <t>ADSERVICE
(DECLINOU)</t>
  </si>
  <si>
    <t>VIBROTEC</t>
  </si>
  <si>
    <t>TJR
(NÃO RESPONDEU)</t>
  </si>
  <si>
    <t>Vetek
(NÃO RESPONDEU)</t>
  </si>
  <si>
    <t>Vibromaq
(NÃO RESPONDEU)</t>
  </si>
  <si>
    <t>563060/563061/563062/563063/563064</t>
  </si>
  <si>
    <t>CONTRATO</t>
  </si>
  <si>
    <t>BOROSCOPIA</t>
  </si>
  <si>
    <t>Contec/Gmtec/Sew/SB END/Welding/Wortice</t>
  </si>
  <si>
    <t>GMTEC</t>
  </si>
  <si>
    <t>SEW*</t>
  </si>
  <si>
    <t>SB END</t>
  </si>
  <si>
    <t>WORTICE</t>
  </si>
  <si>
    <t>Welding
(NÃO RESPONDEU)</t>
  </si>
  <si>
    <t>Contec
(NÃO RESPONDEU)</t>
  </si>
  <si>
    <t>SEW</t>
  </si>
  <si>
    <t>563074/563075</t>
  </si>
  <si>
    <t xml:space="preserve">FILTRAGEM DE OLÉO </t>
  </si>
  <si>
    <t>Maxlubri/Purilub/TratLUB</t>
  </si>
  <si>
    <t>MAXLUBRI</t>
  </si>
  <si>
    <t>TRATLUB</t>
  </si>
  <si>
    <t>PURILUB</t>
  </si>
  <si>
    <t>MAX LUBRI</t>
  </si>
  <si>
    <t>561678/561681/561682/
1047/1048/1114/561709</t>
  </si>
  <si>
    <t>PACOTE MOENDAS A e B</t>
  </si>
  <si>
    <t>CCM/DEDINI/MEFSA/
MORENO/SIMISA/POWER MOENDAS</t>
  </si>
  <si>
    <t>CCM</t>
  </si>
  <si>
    <t>DEDINI</t>
  </si>
  <si>
    <t>SIMISA
RESPONDEU COMPRAS</t>
  </si>
  <si>
    <t>POWER MOENDAS
(CERIBELI Ñ QHR)</t>
  </si>
  <si>
    <t>561968/561990/562025/
562044/562035/562036/
566023</t>
  </si>
  <si>
    <t xml:space="preserve">INSPEÇÃO CORRENTES ARRASTE </t>
  </si>
  <si>
    <t>SB END/WELDING/SOLIEND/
QUALYSERVICE</t>
  </si>
  <si>
    <t>SOLIEND</t>
  </si>
  <si>
    <t>QUALYSERVICE</t>
  </si>
  <si>
    <t>WELDING</t>
  </si>
  <si>
    <t>562125/564307</t>
  </si>
  <si>
    <t>CONFECÇÃO EIXO E ROTOR PARA EXAUSTOR (SPOT)</t>
  </si>
  <si>
    <t>ASTE/AERO/VIBROTEC</t>
  </si>
  <si>
    <t>AERO</t>
  </si>
  <si>
    <t>ASTE</t>
  </si>
  <si>
    <t>562506 (Luiza)</t>
  </si>
  <si>
    <t>Pacote Inspeção Vasos de Pressão NR13</t>
  </si>
  <si>
    <t>ENGETEX/ENGEVESSEL/ENGINEERS/JRE INSPEÇÃO</t>
  </si>
  <si>
    <t>ENGINEERS</t>
  </si>
  <si>
    <t>ENGEVESSEL</t>
  </si>
  <si>
    <t>JRE INSPEÇÃO</t>
  </si>
  <si>
    <t>ENGETEX</t>
  </si>
  <si>
    <t>TORRES DE RESFRIAMENTO</t>
  </si>
  <si>
    <t>COBERMIL/RB/VETTOR</t>
  </si>
  <si>
    <t>RB SERVIÇOS</t>
  </si>
  <si>
    <t>COBERMIL</t>
  </si>
  <si>
    <t>VETTOR</t>
  </si>
  <si>
    <t>RB  SERVIÇOS</t>
  </si>
  <si>
    <t>1054/1039/563668/563669/563670/563671/563672/563673/563674/563675/563677/563678/563679/563680/563681/563682/563683/563684/563687</t>
  </si>
  <si>
    <t>MANUTENÇÃO NAS TURBINAS Á VAPOR</t>
  </si>
  <si>
    <t>TGM/Wortice</t>
  </si>
  <si>
    <t>TGM</t>
  </si>
  <si>
    <t>1051/1052/1119</t>
  </si>
  <si>
    <t>INSPEÇÃO EXTRAÇÃO (MOENDAS)</t>
  </si>
  <si>
    <t>SB End/Welding/Soliend/
QualyService/JRE Inspeções</t>
  </si>
  <si>
    <t>SB END
(NÃO ENVIOU)</t>
  </si>
  <si>
    <t>JRE
(NÃO ENVIOU)</t>
  </si>
  <si>
    <t>563742/563745</t>
  </si>
  <si>
    <t>SOPRADORES DE FULIGEM</t>
  </si>
  <si>
    <t>Process-Prother/Heron/Promoen/
Clyde/Lsi/</t>
  </si>
  <si>
    <t>CLYDE
(DECLINOU)</t>
  </si>
  <si>
    <t>HEROM</t>
  </si>
  <si>
    <t>PROMOEN</t>
  </si>
  <si>
    <t>PROTHER</t>
  </si>
  <si>
    <t>LSI
(NÃO ENVIOU)</t>
  </si>
  <si>
    <t>565.141/565.142</t>
  </si>
  <si>
    <t>VISORES DE NIVEL</t>
  </si>
  <si>
    <t>Pmatec/Tecviso/Aurea/
Tecnoval/Visortech</t>
  </si>
  <si>
    <t>TECVISO</t>
  </si>
  <si>
    <t>VISORTECH</t>
  </si>
  <si>
    <t>PMATEC</t>
  </si>
  <si>
    <t>TECNOVAL</t>
  </si>
  <si>
    <t>AUREA
(NÃO ENVIOU)</t>
  </si>
  <si>
    <t>563432/563435/563436</t>
  </si>
  <si>
    <t>PERITAGEM GERADORES</t>
  </si>
  <si>
    <t>WEG/Data Engenharia/Buscarioli/Harpia/Ecovis</t>
  </si>
  <si>
    <t>WEG</t>
  </si>
  <si>
    <t>HARPIA</t>
  </si>
  <si>
    <t>Data Engenharia</t>
  </si>
  <si>
    <t>Buscarioli
(não enviou)</t>
  </si>
  <si>
    <t>Ecovis
(Fora Prazo)</t>
  </si>
  <si>
    <t>564223/1057/1058/1124</t>
  </si>
  <si>
    <t>PACOTE VALVULAS DE CALDO</t>
  </si>
  <si>
    <t>Edjaldo Dias Batista</t>
  </si>
  <si>
    <t>TJA/APM/Tecnoval</t>
  </si>
  <si>
    <t>TJA</t>
  </si>
  <si>
    <t>APM</t>
  </si>
  <si>
    <t>Tecnoval</t>
  </si>
  <si>
    <t>Eliminou as negociações através formulário Ceribeli</t>
  </si>
  <si>
    <t>562427/562356</t>
  </si>
  <si>
    <t>MANUTENÇÃO LINHA DE PRESSÃO CALDEIRA 01 - RV01</t>
  </si>
  <si>
    <t>Eduardo Rogerio Maggio</t>
  </si>
  <si>
    <t>MR MONTAGENS/ORCA/
MONINSC/GLM/FRS/ZAP/G. LIMA</t>
  </si>
  <si>
    <t>ORCA</t>
  </si>
  <si>
    <t>MONINSC</t>
  </si>
  <si>
    <t>frs
(declinou)</t>
  </si>
  <si>
    <t>GLM</t>
  </si>
  <si>
    <t>MR MONTAGENS
(Não resp.)</t>
  </si>
  <si>
    <t>ZAP
(AG ORÇ)</t>
  </si>
  <si>
    <t>GRUPO LIMA
(AG excel)</t>
  </si>
  <si>
    <t>PACOTE TRANSMISSORES (in loco)</t>
  </si>
  <si>
    <t>Valtenir José de Brito</t>
  </si>
  <si>
    <t>ENGINSTREL/GMG/GSA/ACCI/E.R.FLOW</t>
  </si>
  <si>
    <t>ACCI</t>
  </si>
  <si>
    <t>GMG</t>
  </si>
  <si>
    <t>Engistrel</t>
  </si>
  <si>
    <t>GSA</t>
  </si>
  <si>
    <t>ER FLOW</t>
  </si>
  <si>
    <t>564565/564569/564574/564576/564577/564593/564594</t>
  </si>
  <si>
    <t>N/A</t>
  </si>
  <si>
    <t>CALDEIRARIA MOENDAS A E B</t>
  </si>
  <si>
    <t>DAR AGRO/ZAP/NS/MFC/DRW</t>
  </si>
  <si>
    <t>NS</t>
  </si>
  <si>
    <t>DAR AGRO</t>
  </si>
  <si>
    <t>ZAP</t>
  </si>
  <si>
    <t>MFC</t>
  </si>
  <si>
    <t>DRW
(NÃO RESPONDEU)</t>
  </si>
  <si>
    <t>564799/564804/564805/564806/564807</t>
  </si>
  <si>
    <t>CALDEIRARIA GERAL DO PROCESSO</t>
  </si>
  <si>
    <t>Renan Araújo Junqueira Bueno</t>
  </si>
  <si>
    <t>DAR AGRO/ZAP/NS/FRS/MFC/
GTS/SMI</t>
  </si>
  <si>
    <t>SMI</t>
  </si>
  <si>
    <t>DRW</t>
  </si>
  <si>
    <t>MFC
(DECLINOU)</t>
  </si>
  <si>
    <t>GTS
(DECLINOU)</t>
  </si>
  <si>
    <t>DAR AGRO / SMI /SB END / BC MAIS / LL MONTAGEM / GRUPO GAMMA</t>
  </si>
  <si>
    <t>564.613/564.616/564.618/564.619/564.620/564.621/564.624/564.625/564.625/564.626/564.626/564.627/564.628/564.629/564.630/564.631/564.631/564.631/564.632/564.633/564.634/564.635/564.636/564.637/564.638/564.639/564.641/564.642/564.643/564.644/564.645/564.646/564.647/564.648/564.650/564.651/564.653/564.654/564.655/564.656/564.657/564.664/564.665/564.666/564.667/564.668/564.669/564.670/564.671/564.673/564.674/564.675/564.676/564.677/564.678/564.679/564.681/564.682/564.684/564.685/564.686/564.697/564.698/564.699/564.700/564.701/564.702/564.703/564.704/564.705/564.706/564.707/564.708/564.709/564.711/564.712/564.713/564.716/564.719/564.721/564.722/564.723/564.842/564.843/564.844/564.845/564.846/564.847</t>
  </si>
  <si>
    <t>PACOTE CALDEIRARIA SIDERURGICA CALDEIRA 01</t>
  </si>
  <si>
    <t>DAR AGRO/ZAP/NS/FRS/MFC/
GTS/DRW/SMI</t>
  </si>
  <si>
    <t xml:space="preserve">DAR AGRO </t>
  </si>
  <si>
    <t>GAMMA</t>
  </si>
  <si>
    <t>BC MAIS (FALTA EQUALIZAR)</t>
  </si>
  <si>
    <t>DRW/GTS/MFC
(DECLINOU)</t>
  </si>
  <si>
    <t>GAMMA/SMI/DAR AGRO</t>
  </si>
  <si>
    <t>564773/564774/564775/564776/564960/564961/564962/564963/564964/564965/564966/564969/564970/564971/564972/564974/564975/564976/564979/564980/564982/564983</t>
  </si>
  <si>
    <t>Confecção de Tanques</t>
  </si>
  <si>
    <t>DAR AGRO/ZAP/NS/DRW/MFC/
GTS/SMI</t>
  </si>
  <si>
    <t>GTS</t>
  </si>
  <si>
    <t>564286/564287/564290/564291/564292/564294/564295/564296</t>
  </si>
  <si>
    <t>PREVENTIVA DISJUNTORES MEDIA TENSÃO (in loco)</t>
  </si>
  <si>
    <t>Eduardo Henrique Silva Souza</t>
  </si>
  <si>
    <t>APS/Equilibrio/Eletrolucas/ FastDrive</t>
  </si>
  <si>
    <t>EQUILIBRIO</t>
  </si>
  <si>
    <t>FASTDRIVE</t>
  </si>
  <si>
    <t>APS</t>
  </si>
  <si>
    <t>ELETROLUCAS</t>
  </si>
  <si>
    <t>Calibração Válvulas de Segurança</t>
  </si>
  <si>
    <t>Igor Marques Assis</t>
  </si>
  <si>
    <t xml:space="preserve">Zepponi/Visortech/Valsev/
kcal/Hidrovapor/ Seal Valve/tecnoval </t>
  </si>
  <si>
    <t>KCAL</t>
  </si>
  <si>
    <t>VALSEV</t>
  </si>
  <si>
    <t>SEALVALVE</t>
  </si>
  <si>
    <t>ZEPPONI
(NÃO RESPONDEU)</t>
  </si>
  <si>
    <t>VISORTECH
(NÃO RESPONDEU)</t>
  </si>
  <si>
    <t>HIDROVAPOR
(NÃO RESPONDEU)</t>
  </si>
  <si>
    <t>sealvalve</t>
  </si>
  <si>
    <t>564.829/564.831/564.832/564.833/564.834/564.835/564.836/564.837</t>
  </si>
  <si>
    <t>PREVENTIVA DISJUNTORES BAIXA TENSÃO (in loco)</t>
  </si>
  <si>
    <t>APS/Equilibrio/Eletrolucas/ Fast Drives</t>
  </si>
  <si>
    <t>EQUILIBRIO
(NÃO RESPONDEU)</t>
  </si>
  <si>
    <t xml:space="preserve">PREVENTIVA TRANSFORMADORES </t>
  </si>
  <si>
    <t xml:space="preserve">Siner/Prosep/Sercamp/Equilibrio </t>
  </si>
  <si>
    <t>SINER</t>
  </si>
  <si>
    <t>SERCAMP</t>
  </si>
  <si>
    <t>PROSEP</t>
  </si>
  <si>
    <t>MONTAGEM E FORNECIMENTO DE ANDAIME</t>
  </si>
  <si>
    <t>Eduardo Souza Cunha</t>
  </si>
  <si>
    <t>Frontal/Monteja</t>
  </si>
  <si>
    <t>FRONTAL</t>
  </si>
  <si>
    <t>MONTEJA</t>
  </si>
  <si>
    <t>GRUPO MATOS</t>
  </si>
  <si>
    <t>MG ANDAIMES</t>
  </si>
  <si>
    <t>FEITO CONTRATO DE LOCAÇÃO</t>
  </si>
  <si>
    <t>LOCAÇÃO DE GUINDASTES 50 TON</t>
  </si>
  <si>
    <t>Betel/JAM/Caldemil/Gmig/Gigantão</t>
  </si>
  <si>
    <t>JACOMASSI</t>
  </si>
  <si>
    <t>GMIG</t>
  </si>
  <si>
    <t>GIGANTÃO</t>
  </si>
  <si>
    <t>CALDEMIL</t>
  </si>
  <si>
    <t>BETEL</t>
  </si>
  <si>
    <t>FINALIZADO</t>
  </si>
  <si>
    <t>CONTRATO DE LOCAÇÃO</t>
  </si>
  <si>
    <t>PURGADORES</t>
  </si>
  <si>
    <t>Lucas Henrique Lara Rodrigues</t>
  </si>
  <si>
    <t>Zepponi/Tecnoval/Kcal/Valsev/HidroVapor</t>
  </si>
  <si>
    <t>ZEPPONI</t>
  </si>
  <si>
    <t>Kcal</t>
  </si>
  <si>
    <t>HidroVapor</t>
  </si>
  <si>
    <t>kcal</t>
  </si>
  <si>
    <t>564850/564851/564852/564854/564855/564856/564857/564858/1070</t>
  </si>
  <si>
    <t>LIMPEZA A SECO DAS CALDEIRAS 1,2 e 3</t>
  </si>
  <si>
    <t>SERVITEC/PROMAC/INDTEC</t>
  </si>
  <si>
    <t>PROMAC
(DECLINOU)</t>
  </si>
  <si>
    <t>INDTEC
(DECLINOU)</t>
  </si>
  <si>
    <t>SERVITEC</t>
  </si>
  <si>
    <t>Feito Formulario de exclusividade</t>
  </si>
  <si>
    <t>564115/564117/564118</t>
  </si>
  <si>
    <t>DESCARREGADORES</t>
  </si>
  <si>
    <t>Ad Service/Ferramaq/Renova/
TJR/Vetek/Vibromaq/Silver</t>
  </si>
  <si>
    <t>VETEK
(DECLINOU)</t>
  </si>
  <si>
    <t>TJR</t>
  </si>
  <si>
    <t>SILVER WEIBULL</t>
  </si>
  <si>
    <t>AD SERVICE
(NÃO RESPONDEU)</t>
  </si>
  <si>
    <t>564310/564311</t>
  </si>
  <si>
    <t>Pacote Peneira Rotativa Moenda A</t>
  </si>
  <si>
    <t>VIBROTEC/VIBROMAQ/EQUILIBRIO</t>
  </si>
  <si>
    <t>VIBROMAQ
(declinou)</t>
  </si>
  <si>
    <t>564308/564309/566030</t>
  </si>
  <si>
    <t>VALVULAS CORTA CHAMAS</t>
  </si>
  <si>
    <t>Zepponi/Tecnoval/Seal Valve</t>
  </si>
  <si>
    <t>zepponi</t>
  </si>
  <si>
    <t>tecnoval</t>
  </si>
  <si>
    <t>Zepponi</t>
  </si>
  <si>
    <t>TROCADORES DE CALOR</t>
  </si>
  <si>
    <t>Janio Lopes Furtado Junior</t>
  </si>
  <si>
    <t>Manutrol/Agapito/Rplates/Alfa Laval</t>
  </si>
  <si>
    <t>MANUTROL</t>
  </si>
  <si>
    <t>Agapito</t>
  </si>
  <si>
    <t>Rplates</t>
  </si>
  <si>
    <t>564894/564898</t>
  </si>
  <si>
    <t xml:space="preserve">MANUTENÇÃO REDUTORES </t>
  </si>
  <si>
    <t>Wortice/Macopema/ADDN/Cestari</t>
  </si>
  <si>
    <t>CESTARI</t>
  </si>
  <si>
    <t>MACOPEMA</t>
  </si>
  <si>
    <t>ADDN</t>
  </si>
  <si>
    <t>Wórtice</t>
  </si>
  <si>
    <t>FORMULÁRIO</t>
  </si>
  <si>
    <t>CESTARI / MACOPEMA</t>
  </si>
  <si>
    <t>565344/565347/565906/565908</t>
  </si>
  <si>
    <t>MANUTENÇÃO CENTRIFUGAS DE AÇÚCAR 02</t>
  </si>
  <si>
    <t>Ad Service/Ferramaq/Renova
TecSugar/TJR/
Vibromaq/Vibrotec</t>
  </si>
  <si>
    <t>TECSUGAR</t>
  </si>
  <si>
    <t>ESPERANDO PC</t>
  </si>
  <si>
    <t>LOCAÇÃO PTAs</t>
  </si>
  <si>
    <t>LOXAM/TECNOGERA/MAKFIL/TRIANGULO</t>
  </si>
  <si>
    <t>LOXAM</t>
  </si>
  <si>
    <t>TECNOGERA</t>
  </si>
  <si>
    <t>MAKFIL</t>
  </si>
  <si>
    <t>TRIANGULO</t>
  </si>
  <si>
    <t>makfil</t>
  </si>
  <si>
    <t>Feito adtivo contrato atual</t>
  </si>
  <si>
    <t>PACOTE CALDEIRARIA SIDERURGICA CALDEIRA 02</t>
  </si>
  <si>
    <t>DAR AGRO/ZAP/NS/MFC/
GTS/BCMAIS/
GRUPOLIMA</t>
  </si>
  <si>
    <t>GAMMA
(Ag.Email com Garantia)</t>
  </si>
  <si>
    <t>SB END/GAMMA</t>
  </si>
  <si>
    <t>565319/565320/565321/565322/565324/565325/565326/565327/565328/565330/565333</t>
  </si>
  <si>
    <t>Pacote Bomba Captação Água Bruta (FORMULARIO RWBB)</t>
  </si>
  <si>
    <t>RWBOMBAS/Revolts/Elibombas/Higra</t>
  </si>
  <si>
    <t>HIGRA</t>
  </si>
  <si>
    <t>RWBOMBAS</t>
  </si>
  <si>
    <t>Ag. Assinatura do Formulário pazzoto</t>
  </si>
  <si>
    <t>RW Bombas</t>
  </si>
  <si>
    <t>PACOTE CALDEIRARIA SIDERURGICA CALDEIRA 03</t>
  </si>
  <si>
    <t>AG OK DA GERÊNCIA</t>
  </si>
  <si>
    <t>Preventiva Inversores de Média Tensão - Moendas (in loco)</t>
  </si>
  <si>
    <t>WEG/Trigger/Masterdrives/Renodrives</t>
  </si>
  <si>
    <t>Trigger</t>
  </si>
  <si>
    <t>RenoDrives</t>
  </si>
  <si>
    <t>MasterDrives</t>
  </si>
  <si>
    <t>TRIGGER</t>
  </si>
  <si>
    <t>565124/565125</t>
  </si>
  <si>
    <t>PRENSA PCTS</t>
  </si>
  <si>
    <t>Hidrasseme/DEDINI</t>
  </si>
  <si>
    <t>DEDINE</t>
  </si>
  <si>
    <t>Preventiva na Subestação 138KV</t>
  </si>
  <si>
    <t>Siner/Prosep/JVP/SOS</t>
  </si>
  <si>
    <t>SOS</t>
  </si>
  <si>
    <t>Prosep</t>
  </si>
  <si>
    <t>1127/1072/565248</t>
  </si>
  <si>
    <t>PACOTE LINHA DE PRESSÃO CALDEIRA 02</t>
  </si>
  <si>
    <t>MR MONTAGENS/ORCA/
MONINSC/GLM/FRS/ZAP / G. LIMA</t>
  </si>
  <si>
    <t>ORCA
(DECLINOU)</t>
  </si>
  <si>
    <t xml:space="preserve">Zap
</t>
  </si>
  <si>
    <t>GRUPO LIMA</t>
  </si>
  <si>
    <t>MR MONTAGENS
(NÃO RSP)</t>
  </si>
  <si>
    <t>GLM
(NÃO RESPONDEU)</t>
  </si>
  <si>
    <t>564839/564840/564841</t>
  </si>
  <si>
    <t>INSPEÇÃO DE IRIS CALDEIRA 01 e 02</t>
  </si>
  <si>
    <t xml:space="preserve">TMFORCE </t>
  </si>
  <si>
    <t>TMFORCE</t>
  </si>
  <si>
    <t>TMForce</t>
  </si>
  <si>
    <t>564602/564604/564605</t>
  </si>
  <si>
    <t>PREVENTIVA INVERSOSRES  BAIXA TENSÃO (in loco)</t>
  </si>
  <si>
    <t>WEG 
(DECLINOU)</t>
  </si>
  <si>
    <t>01129/565442/565443/565444/565446/565447/565449/565450</t>
  </si>
  <si>
    <t>Peritagem Motores Caldeiras</t>
  </si>
  <si>
    <t>WEG/RENODRIVES/ELETROVATTI/SOS. MAQUINAS/ECOVIS/RE-VOLTIS</t>
  </si>
  <si>
    <t>Ecovis</t>
  </si>
  <si>
    <t>Revoltis</t>
  </si>
  <si>
    <t>SOS Maquinas</t>
  </si>
  <si>
    <t>EDVALDO FECHA 31/01</t>
  </si>
  <si>
    <t>ECOVIS</t>
  </si>
  <si>
    <t>NR13 DA CALDEIRA</t>
  </si>
  <si>
    <t>Engevap/TM Force/ 
Proinspeção/ Perticarari / QualyService/ Doutor Caldeiras</t>
  </si>
  <si>
    <t>QualyService</t>
  </si>
  <si>
    <t>Engevap 
(Respondeu fora do prazo)</t>
  </si>
  <si>
    <t>WELDING
(Respondeu fora do prazo)</t>
  </si>
  <si>
    <t>Perticarari</t>
  </si>
  <si>
    <t>564552/564553/564555</t>
  </si>
  <si>
    <t>Valvulas Água e Vapor Caldeiras</t>
  </si>
  <si>
    <t>Zepponi/Visortech/Valsev/
kcal/Hidrovapor/ Seal Valve/Tecnoval/HITER/Promoen</t>
  </si>
  <si>
    <t>HIDRO Vapor</t>
  </si>
  <si>
    <t>Promoen</t>
  </si>
  <si>
    <t>SealValve</t>
  </si>
  <si>
    <t>AS VALVULAS HITER SERÃO ENVIADAS PARA A HITER.</t>
  </si>
  <si>
    <t>565451/565452/565453</t>
  </si>
  <si>
    <t>Manutenção CPC II</t>
  </si>
  <si>
    <t>DRAKE-PM/ TECHNERG / MASTER ENERGY  / NORMANHA</t>
  </si>
  <si>
    <t>Normanha Service</t>
  </si>
  <si>
    <t>Master Energy</t>
  </si>
  <si>
    <t>Techenerg
(FORA DO PRAZO)</t>
  </si>
  <si>
    <t>ENVIADO COM APENAS DUAS EMPRESAS A PEDIDO CERIBELLI E PAZOTTO NA REUNIÃO DIA 12/12</t>
  </si>
  <si>
    <t>NORMANHA</t>
  </si>
  <si>
    <t>1074/1075/565489</t>
  </si>
  <si>
    <t>PREVENTIVA MAQUINAS DE SELF (in loco)</t>
  </si>
  <si>
    <t>Jn Refrigeração/Triang/SGS/MULT</t>
  </si>
  <si>
    <t xml:space="preserve">EDVALDO REALIZOU </t>
  </si>
  <si>
    <t>TRIANG
(DECLINOU)</t>
  </si>
  <si>
    <t>FECHANDO PROCESSO JURIDICO E RH (MULTI)</t>
  </si>
  <si>
    <t>MULTI</t>
  </si>
  <si>
    <t>INSPEÇÃO INTERNA EXTRAÇÃO MOENDA</t>
  </si>
  <si>
    <t>SB END/PRINER/SOLIEND/QUALYSERVICE/JRE INSPEÇÕES/VIBROTEC</t>
  </si>
  <si>
    <t>TECVIBRO
(DECLINOU)</t>
  </si>
  <si>
    <t>Qualyservice</t>
  </si>
  <si>
    <t>SOLIEND DECLINOU APÓS FECHAMENTO - FECHOU COM SB END</t>
  </si>
  <si>
    <t>565933/565934</t>
  </si>
  <si>
    <t>AFERIÇÃO DOS RELÉS DE MÉDIA TENSÃO</t>
  </si>
  <si>
    <t>Siner</t>
  </si>
  <si>
    <t>JVP</t>
  </si>
  <si>
    <t>CALDEIRARIA GERAL DO PROCESSO PART 2</t>
  </si>
  <si>
    <t>ZAP/NS/MFC/
GRUPOLIMA/GAMMA</t>
  </si>
  <si>
    <t>GRUPOLIMA
(DECLINOU)</t>
  </si>
  <si>
    <t>MG MONTAGEM</t>
  </si>
  <si>
    <t>SBEND</t>
  </si>
  <si>
    <t>MFC
Ag. Email</t>
  </si>
  <si>
    <t>Ag patricia para fazer SC sb end</t>
  </si>
  <si>
    <t>MG MONTAGEM/ SB END</t>
  </si>
  <si>
    <t>565.313/565.314/565.315/565.316/565.317</t>
  </si>
  <si>
    <t>CARTA TRANSPORTE DAS MOENDAS 100"</t>
  </si>
  <si>
    <t>Transfigueredo</t>
  </si>
  <si>
    <t>Transfigueiredo</t>
  </si>
  <si>
    <t>FECHADO FRETE</t>
  </si>
  <si>
    <t>MELHORIA NA REDE DA AUTOMAÇÃO</t>
  </si>
  <si>
    <t>Dimensional/ADD Service/APR Power/Infoeng</t>
  </si>
  <si>
    <t>AddSolution</t>
  </si>
  <si>
    <t>INFOENG</t>
  </si>
  <si>
    <t>ESTUDO CONCEITUAL PARA APROVEITAMENTO HÍDRICO</t>
  </si>
  <si>
    <t>Baixo</t>
  </si>
  <si>
    <t>Dario Porfirio de Andrade</t>
  </si>
  <si>
    <t>JRB Engenharia/Empoind/Sucrana</t>
  </si>
  <si>
    <t>JBR Engenharia</t>
  </si>
  <si>
    <t>SUCRANA</t>
  </si>
  <si>
    <t>DARIO DEFINE 20/01 SE VAI SEGUIR COM 2 OU 3 EMPRESAS</t>
  </si>
  <si>
    <t>MANUTENÇÃO CENTRIFUGAS DE VINHO/LEVEDURA</t>
  </si>
  <si>
    <t xml:space="preserve">Ad Service/Centrifugas ribeirão/RA camargo </t>
  </si>
  <si>
    <t>AD SERVICE</t>
  </si>
  <si>
    <t>CENTRIFUGAS RIBEIRÃO</t>
  </si>
  <si>
    <t>RIBEIRÃO CENTRIFUGAS</t>
  </si>
  <si>
    <t>565502/565503/565504</t>
  </si>
  <si>
    <t>SISTEMA DE ASSEPXIA DAS DORNAS (spray ball)</t>
  </si>
  <si>
    <t>FCS Service/Spray System/CF Soluções Industriais</t>
  </si>
  <si>
    <t>OK, E-MAIL EDVALDO</t>
  </si>
  <si>
    <t>FCS SERVICE</t>
  </si>
  <si>
    <t>FCS</t>
  </si>
  <si>
    <t>565494/565495/565496</t>
  </si>
  <si>
    <t>PACOTE MÃO DE OBRA INSTRUMENTAÇÃO</t>
  </si>
  <si>
    <t>Eletrokal/Fertron/Prosep</t>
  </si>
  <si>
    <t>ELETROKAL</t>
  </si>
  <si>
    <t>FERTRON</t>
  </si>
  <si>
    <t>VALE DO NIQUEL</t>
  </si>
  <si>
    <t>565543/565544/565545/1077/565546/565547/565548/565549/565550/565551/565552</t>
  </si>
  <si>
    <t>PACOTE MÃO DE OBRA ELÉTRICA</t>
  </si>
  <si>
    <t>CONTRATO POR MEDIÇÃO ELETROKAL</t>
  </si>
  <si>
    <t>INVERSORES DE BAIXA TENSÃO CENTRIFUGA DE AÇÚCAR (in loco)</t>
  </si>
  <si>
    <t>WEG/Trigger/Masterdrives/REVOLTECH/MX DRIVE/TECNOLIFE</t>
  </si>
  <si>
    <t>Fastdrive</t>
  </si>
  <si>
    <t>RENODRIVES</t>
  </si>
  <si>
    <t>565613/565615/565616/565617/565618/565619/565620/565621/565622/565623</t>
  </si>
  <si>
    <t>PACOTE REVESTIMENTO DE POLIURETANO</t>
  </si>
  <si>
    <t>Riberman/PlantRubber/Ruber Good</t>
  </si>
  <si>
    <t>Riberman</t>
  </si>
  <si>
    <t>Rubbergood
(DECLINOU)</t>
  </si>
  <si>
    <t>PlantRubber 
(Ag. Email)</t>
  </si>
  <si>
    <t>PLANT RUBBER</t>
  </si>
  <si>
    <t>565754/565756/565757/565758/565789/565760/565761/565762</t>
  </si>
  <si>
    <t>16.10</t>
  </si>
  <si>
    <t>ADITIVO LINHA DE PRESSÃO DA CALDEIRA 01</t>
  </si>
  <si>
    <t>20.10</t>
  </si>
  <si>
    <t>ADITIVO CALDEIRARIA SIDERURGICA CALDEIRA 01</t>
  </si>
  <si>
    <t>TROCA DE COLETOR DE ECONOMIZADOR DA CALDEIRA 03</t>
  </si>
  <si>
    <t>ORCA/ZAP/MR MONTAGEM/ENGMIL</t>
  </si>
  <si>
    <t>ENGMIL</t>
  </si>
  <si>
    <t>MR MONTAGENS</t>
  </si>
  <si>
    <t>ALVENARIA E REFRATARIA DAS CALDEIRAS</t>
  </si>
  <si>
    <t>Tesla Energy/Refracal/CMPC</t>
  </si>
  <si>
    <t>Tesla Energy</t>
  </si>
  <si>
    <t>TESLA</t>
  </si>
  <si>
    <t>REVESTIMENTO DE BOMBAS</t>
  </si>
  <si>
    <t>Quimatic/Armo do Brasil/Triad Flow</t>
  </si>
  <si>
    <t>GERANDO PEDIDO PARA TRIAD FLOW até 20/01</t>
  </si>
  <si>
    <t>TRAID FLOW</t>
  </si>
  <si>
    <t>JATEAMENTO E PINTURA DE 12 PENEIRAS DE CALDO</t>
  </si>
  <si>
    <t>Jato Santa Luzia/RENOVA CORES</t>
  </si>
  <si>
    <t>janio passou email e formulario fazer solicitação</t>
  </si>
  <si>
    <t>JATO SANTA LUZIA</t>
  </si>
  <si>
    <t>565830/565831/565832/565833/565834/565835/565836/565837/565838/565839/565840/565841</t>
  </si>
  <si>
    <t>MANUTENÇÃO DE CILINDROS HIDRÁULICOS</t>
  </si>
  <si>
    <t>Fabio Cordeiro Nunes</t>
  </si>
  <si>
    <t>Veda Rio</t>
  </si>
  <si>
    <t>AG VALIDAÇÃO TÉCNICA DO FABIO</t>
  </si>
  <si>
    <t>VEDARIO</t>
  </si>
  <si>
    <t xml:space="preserve">Laudo de SPDA e Aterramento </t>
  </si>
  <si>
    <t>RBS/PROSEP/FERTRON/ENGND/NEK NEW/VS SERVICE/EVL</t>
  </si>
  <si>
    <t>ENGND</t>
  </si>
  <si>
    <t>MONT SERVC</t>
  </si>
  <si>
    <t>AG SOUZA EQUALIZAR 2 NOVAS PROPOSTAS</t>
  </si>
  <si>
    <t>Vulcanização das Esteiras de Borrachas - RV01</t>
  </si>
  <si>
    <t>Vulcatec/Ribeirão Correias/Vulcan-sert</t>
  </si>
  <si>
    <t>AG PROPOSTAS</t>
  </si>
  <si>
    <t>RIBEIRÃO CORREIAS</t>
  </si>
  <si>
    <t>PACOTE ELETRICA E INSTRUMENTAÇÃO TORRE DO MOSTRO</t>
  </si>
  <si>
    <t>PROSEP/FERTRON/ELETROKAL/GSE</t>
  </si>
  <si>
    <t>PROJETOS GEARAR SC</t>
  </si>
  <si>
    <t>MANUTENÇÃO EM COMPRESSORES DE AR COMPRIMIDO</t>
  </si>
  <si>
    <t>Compressores Brasil</t>
  </si>
  <si>
    <t>566870/566871</t>
  </si>
  <si>
    <t>ISOLAMENTO DAS TURBINAS A VAPOR</t>
  </si>
  <si>
    <t>SB Isolamentos/SDF/JF Isolamentos</t>
  </si>
  <si>
    <t>SDF</t>
  </si>
  <si>
    <t>SB ISOLAMENTOS</t>
  </si>
  <si>
    <t>JM FARIAS</t>
  </si>
  <si>
    <t>Projetos</t>
  </si>
  <si>
    <t>PROJETOS</t>
  </si>
  <si>
    <t>INTERLIGAÇÃO DO MOSTO</t>
  </si>
  <si>
    <t>Leandro Camilo</t>
  </si>
  <si>
    <t>AG APROVAÇÃO TÉCNICA CAMILO</t>
  </si>
  <si>
    <t>-</t>
  </si>
  <si>
    <t>CARTA CONVITE DA SULFITAÇÃO</t>
  </si>
  <si>
    <t>NS/ZAP/DAR AGRO/GAMMA</t>
  </si>
  <si>
    <t>AG PROPOSTAS (APENAS GAMMA ENVIOU)</t>
  </si>
  <si>
    <t>PLANTA</t>
  </si>
  <si>
    <t>AUTOMAÇÃO</t>
  </si>
  <si>
    <t>Responsável</t>
  </si>
  <si>
    <t>CALDEIRA 01</t>
  </si>
  <si>
    <t>CALDEIRA 02</t>
  </si>
  <si>
    <t>CALDEIRA 03</t>
  </si>
  <si>
    <t>Fabio Nunes</t>
  </si>
  <si>
    <t>CALDEIRARIA</t>
  </si>
  <si>
    <t>Janio Junior Lopes</t>
  </si>
  <si>
    <t>CAPTAÇÃO</t>
  </si>
  <si>
    <t>Thâmara Ceballos</t>
  </si>
  <si>
    <t>DESTILÁRIA</t>
  </si>
  <si>
    <t>Bruno Campos</t>
  </si>
  <si>
    <t>ETA</t>
  </si>
  <si>
    <t>Leonardo Teixeira</t>
  </si>
  <si>
    <t>FAB. AÇÚCAR</t>
  </si>
  <si>
    <t>FABRICA/ARMAZEM</t>
  </si>
  <si>
    <t>FERMENTAÇÃO</t>
  </si>
  <si>
    <t>FERMENTAÇÃO/DESTILARIA</t>
  </si>
  <si>
    <t>GER. ENERGIA</t>
  </si>
  <si>
    <t>GERAL</t>
  </si>
  <si>
    <t>INSTRUMENTAÇÃO</t>
  </si>
  <si>
    <t>LEVEDURA</t>
  </si>
  <si>
    <t>MECÂNICA</t>
  </si>
  <si>
    <t>METROLOGIA</t>
  </si>
  <si>
    <t>MOENDA B</t>
  </si>
  <si>
    <t>PCM</t>
  </si>
  <si>
    <t>PCTS</t>
  </si>
  <si>
    <t>TORRE DE RESFRIAMENTO</t>
  </si>
  <si>
    <t>UTILIDADES</t>
  </si>
  <si>
    <t>VINHAÇA</t>
  </si>
  <si>
    <t>Tempo Pendente</t>
  </si>
  <si>
    <t>PENEIRA ROT. DECANTADOR</t>
  </si>
  <si>
    <t>REFORMA TALISCAS MESA MA</t>
  </si>
  <si>
    <t>PERITAGEM ELETROIMA</t>
  </si>
  <si>
    <t>REFORMA ESTEIRA TT01 - TT02</t>
  </si>
  <si>
    <t>REFORMA CORRENTES MESA MA ESTEIRAS METALICAS MA E MB</t>
  </si>
  <si>
    <t>REFORMA TALISCAS ESTEIRAS METALICAS MA E MB</t>
  </si>
  <si>
    <t>REFORMA SIST. HID. MOENDAS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</si>
</sst>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###\-#/26"/>
  </numFmts>
  <fonts count="1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6100"/>
      <name val="Calibri"/>
      <family val="2"/>
      <scheme val="minor"/>
    </font>
    <font>
      <sz val="8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B40074"/>
        <bgColor indexed="64"/>
      </patternFill>
    </fill>
    <fill>
      <patternFill patternType="solid">
        <fgColor rgb="FFFFEB9C"/>
      </patternFill>
    </fill>
    <fill>
      <patternFill patternType="solid">
        <fgColor rgb="FF00863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C57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3" tint="0.499984740745262"/>
      </left>
      <right style="thin">
        <color theme="3" tint="0.499984740745262"/>
      </right>
      <top style="thin">
        <color theme="3" tint="0.499984740745262"/>
      </top>
      <bottom style="thin">
        <color theme="3" tint="0.499984740745262"/>
      </bottom>
      <diagonal/>
    </border>
    <border>
      <left/>
      <right style="thin">
        <color theme="3" tint="0.499984740745262"/>
      </right>
      <top/>
      <bottom style="thin">
        <color theme="3" tint="0.499984740745262"/>
      </bottom>
      <diagonal/>
    </border>
    <border>
      <left style="thin">
        <color theme="3" tint="0.499984740745262"/>
      </left>
      <right style="thin">
        <color theme="3" tint="0.499984740745262"/>
      </right>
      <top/>
      <bottom style="thin">
        <color theme="3" tint="0.499984740745262"/>
      </bottom>
      <diagonal/>
    </border>
    <border>
      <left/>
      <right style="thin">
        <color theme="3" tint="0.499984740745262"/>
      </right>
      <top style="thin">
        <color theme="3" tint="0.499984740745262"/>
      </top>
      <bottom style="thin">
        <color theme="3" tint="0.499984740745262"/>
      </bottom>
      <diagonal/>
    </border>
    <border>
      <left/>
      <right style="thin">
        <color theme="3" tint="0.499984740745262"/>
      </right>
      <top style="thin">
        <color theme="3" tint="0.499984740745262"/>
      </top>
      <bottom/>
      <diagonal/>
    </border>
    <border>
      <left style="thin">
        <color theme="3" tint="0.499984740745262"/>
      </left>
      <right style="thin">
        <color theme="3" tint="0.499984740745262"/>
      </right>
      <top style="thin">
        <color theme="3" tint="0.499984740745262"/>
      </top>
      <bottom/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5" fillId="3" borderId="0" applyNumberFormat="0" applyBorder="0" applyAlignment="0" applyProtection="0"/>
    <xf numFmtId="44" fontId="10" fillId="0" borderId="0" applyFont="0" applyFill="0" applyBorder="0" applyAlignment="0" applyProtection="0"/>
  </cellStyleXfs>
  <cellXfs count="12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3" fillId="0" borderId="1" xfId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14" fontId="5" fillId="0" borderId="1" xfId="2" applyNumberFormat="1" applyFill="1" applyBorder="1" applyAlignment="1">
      <alignment horizontal="center" vertical="center"/>
    </xf>
    <xf numFmtId="0" fontId="0" fillId="0" borderId="0" xfId="0" applyAlignment="1">
      <alignment horizontal="left" vertical="center" indent="5"/>
    </xf>
    <xf numFmtId="0" fontId="0" fillId="0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4" fontId="0" fillId="0" borderId="1" xfId="1" applyNumberFormat="1" applyFont="1" applyFill="1" applyBorder="1" applyAlignment="1">
      <alignment horizontal="center" vertical="center" wrapText="1"/>
    </xf>
    <xf numFmtId="0" fontId="0" fillId="0" borderId="1" xfId="1" applyFont="1" applyFill="1" applyBorder="1" applyAlignment="1">
      <alignment horizontal="center" vertical="center"/>
    </xf>
    <xf numFmtId="0" fontId="0" fillId="0" borderId="1" xfId="1" applyFont="1" applyFill="1" applyBorder="1" applyAlignment="1">
      <alignment horizontal="left" vertical="center" wrapText="1"/>
    </xf>
    <xf numFmtId="0" fontId="0" fillId="0" borderId="1" xfId="1" applyFont="1" applyFill="1" applyBorder="1" applyAlignment="1">
      <alignment horizontal="center" vertical="center" wrapText="1"/>
    </xf>
    <xf numFmtId="14" fontId="0" fillId="0" borderId="1" xfId="1" applyNumberFormat="1" applyFont="1" applyFill="1" applyBorder="1" applyAlignment="1">
      <alignment horizontal="center" vertical="center"/>
    </xf>
    <xf numFmtId="0" fontId="0" fillId="0" borderId="1" xfId="1" applyNumberFormat="1" applyFont="1" applyFill="1" applyBorder="1" applyAlignment="1">
      <alignment horizontal="center" vertical="center" wrapText="1"/>
    </xf>
    <xf numFmtId="14" fontId="7" fillId="6" borderId="1" xfId="0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wrapText="1"/>
    </xf>
    <xf numFmtId="0" fontId="7" fillId="6" borderId="1" xfId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14" fontId="7" fillId="6" borderId="1" xfId="1" applyNumberFormat="1" applyFont="1" applyFill="1" applyBorder="1" applyAlignment="1">
      <alignment horizontal="center" vertical="center"/>
    </xf>
    <xf numFmtId="14" fontId="7" fillId="6" borderId="1" xfId="0" applyNumberFormat="1" applyFont="1" applyFill="1" applyBorder="1" applyAlignment="1">
      <alignment horizontal="center" vertical="center"/>
    </xf>
    <xf numFmtId="1" fontId="7" fillId="6" borderId="1" xfId="0" applyNumberFormat="1" applyFont="1" applyFill="1" applyBorder="1" applyAlignment="1">
      <alignment horizontal="center" vertical="center"/>
    </xf>
    <xf numFmtId="0" fontId="7" fillId="6" borderId="1" xfId="1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3" xfId="1" applyFont="1" applyFill="1" applyBorder="1" applyAlignment="1">
      <alignment horizontal="center" vertical="center"/>
    </xf>
    <xf numFmtId="14" fontId="0" fillId="0" borderId="3" xfId="1" applyNumberFormat="1" applyFont="1" applyFill="1" applyBorder="1" applyAlignment="1">
      <alignment horizontal="center" vertical="center"/>
    </xf>
    <xf numFmtId="14" fontId="0" fillId="0" borderId="1" xfId="0" applyNumberFormat="1" applyBorder="1"/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 wrapText="1"/>
    </xf>
    <xf numFmtId="0" fontId="0" fillId="8" borderId="1" xfId="1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14" fontId="0" fillId="8" borderId="1" xfId="1" applyNumberFormat="1" applyFont="1" applyFill="1" applyBorder="1" applyAlignment="1">
      <alignment horizontal="center" vertical="center"/>
    </xf>
    <xf numFmtId="14" fontId="0" fillId="8" borderId="1" xfId="0" applyNumberFormat="1" applyFill="1" applyBorder="1" applyAlignment="1">
      <alignment horizontal="center" vertical="center"/>
    </xf>
    <xf numFmtId="14" fontId="0" fillId="8" borderId="1" xfId="0" applyNumberFormat="1" applyFill="1" applyBorder="1"/>
    <xf numFmtId="14" fontId="0" fillId="8" borderId="1" xfId="0" applyNumberFormat="1" applyFill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 wrapText="1"/>
    </xf>
    <xf numFmtId="14" fontId="0" fillId="0" borderId="8" xfId="1" applyNumberFormat="1" applyFont="1" applyFill="1" applyBorder="1" applyAlignment="1">
      <alignment horizontal="center" vertical="center" wrapText="1"/>
    </xf>
    <xf numFmtId="14" fontId="7" fillId="6" borderId="8" xfId="0" applyNumberFormat="1" applyFont="1" applyFill="1" applyBorder="1" applyAlignment="1">
      <alignment horizontal="center" vertical="center" wrapText="1"/>
    </xf>
    <xf numFmtId="14" fontId="0" fillId="0" borderId="9" xfId="0" applyNumberFormat="1" applyBorder="1" applyAlignment="1">
      <alignment horizontal="center" vertical="center" wrapText="1"/>
    </xf>
    <xf numFmtId="14" fontId="1" fillId="0" borderId="7" xfId="1" applyNumberFormat="1" applyFont="1" applyFill="1" applyBorder="1" applyAlignment="1">
      <alignment horizontal="center" vertical="center" wrapText="1"/>
    </xf>
    <xf numFmtId="14" fontId="0" fillId="0" borderId="7" xfId="0" applyNumberForma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4" fontId="0" fillId="0" borderId="7" xfId="1" applyNumberFormat="1" applyFont="1" applyFill="1" applyBorder="1" applyAlignment="1">
      <alignment horizontal="center" vertical="center"/>
    </xf>
    <xf numFmtId="14" fontId="7" fillId="6" borderId="7" xfId="0" applyNumberFormat="1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8" borderId="7" xfId="0" applyNumberForma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0" fillId="0" borderId="3" xfId="1" applyNumberFormat="1" applyFont="1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3" xfId="0" applyFill="1" applyBorder="1" applyAlignment="1">
      <alignment horizontal="left" vertical="center" wrapText="1"/>
    </xf>
    <xf numFmtId="0" fontId="0" fillId="8" borderId="3" xfId="1" applyFont="1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 wrapText="1"/>
    </xf>
    <xf numFmtId="14" fontId="0" fillId="8" borderId="3" xfId="1" applyNumberFormat="1" applyFont="1" applyFill="1" applyBorder="1" applyAlignment="1">
      <alignment horizontal="center" vertical="center"/>
    </xf>
    <xf numFmtId="14" fontId="0" fillId="8" borderId="3" xfId="0" applyNumberFormat="1" applyFill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4" fontId="0" fillId="8" borderId="3" xfId="0" applyNumberFormat="1" applyFill="1" applyBorder="1"/>
    <xf numFmtId="14" fontId="0" fillId="8" borderId="3" xfId="0" applyNumberFormat="1" applyFill="1" applyBorder="1" applyAlignment="1">
      <alignment horizontal="center" vertical="center" wrapText="1"/>
    </xf>
    <xf numFmtId="14" fontId="0" fillId="8" borderId="2" xfId="0" applyNumberForma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 wrapText="1"/>
    </xf>
    <xf numFmtId="0" fontId="2" fillId="9" borderId="12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 wrapText="1"/>
    </xf>
    <xf numFmtId="0" fontId="0" fillId="0" borderId="10" xfId="1" applyNumberFormat="1" applyFont="1" applyFill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5" fillId="0" borderId="10" xfId="2" applyNumberFormat="1" applyFill="1" applyBorder="1" applyAlignment="1">
      <alignment horizontal="center" vertical="center"/>
    </xf>
    <xf numFmtId="14" fontId="0" fillId="0" borderId="10" xfId="1" applyNumberFormat="1" applyFont="1" applyFill="1" applyBorder="1" applyAlignment="1">
      <alignment horizontal="center" vertical="center"/>
    </xf>
    <xf numFmtId="14" fontId="3" fillId="0" borderId="10" xfId="1" applyNumberFormat="1" applyFill="1" applyBorder="1" applyAlignment="1">
      <alignment horizontal="center" vertical="center"/>
    </xf>
    <xf numFmtId="0" fontId="3" fillId="0" borderId="10" xfId="1" applyFill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3" fillId="0" borderId="10" xfId="1" applyNumberFormat="1" applyFill="1" applyBorder="1" applyAlignment="1">
      <alignment horizontal="center" vertical="center"/>
    </xf>
    <xf numFmtId="0" fontId="0" fillId="0" borderId="10" xfId="3" applyNumberFormat="1" applyFont="1" applyBorder="1" applyAlignment="1">
      <alignment horizontal="center" vertical="center"/>
    </xf>
    <xf numFmtId="0" fontId="3" fillId="0" borderId="10" xfId="1" applyNumberForma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2" fillId="9" borderId="12" xfId="0" applyFont="1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4" fontId="0" fillId="0" borderId="0" xfId="3" applyFont="1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4" fontId="0" fillId="0" borderId="0" xfId="1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0" fontId="0" fillId="0" borderId="0" xfId="3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 wrapText="1"/>
    </xf>
    <xf numFmtId="0" fontId="5" fillId="0" borderId="0" xfId="2" applyNumberFormat="1" applyFill="1" applyBorder="1" applyAlignment="1">
      <alignment horizontal="center" vertical="center"/>
    </xf>
    <xf numFmtId="0" fontId="3" fillId="0" borderId="0" xfId="1" applyNumberFormat="1" applyFill="1" applyBorder="1" applyAlignment="1">
      <alignment horizontal="center" vertical="center"/>
    </xf>
    <xf numFmtId="14" fontId="0" fillId="8" borderId="0" xfId="0" applyNumberFormat="1" applyFill="1" applyAlignment="1">
      <alignment horizontal="center" vertical="center"/>
    </xf>
    <xf numFmtId="14" fontId="1" fillId="0" borderId="10" xfId="1" applyNumberFormat="1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44" fontId="0" fillId="0" borderId="15" xfId="3" applyFon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 wrapText="1"/>
    </xf>
    <xf numFmtId="0" fontId="0" fillId="0" borderId="15" xfId="1" applyNumberFormat="1" applyFont="1" applyFill="1" applyBorder="1" applyAlignment="1">
      <alignment horizontal="center" vertical="center"/>
    </xf>
    <xf numFmtId="14" fontId="0" fillId="0" borderId="15" xfId="1" applyNumberFormat="1" applyFont="1" applyFill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14" fontId="5" fillId="0" borderId="15" xfId="2" applyNumberFormat="1" applyFill="1" applyBorder="1" applyAlignment="1">
      <alignment horizontal="center" vertical="center"/>
    </xf>
    <xf numFmtId="14" fontId="1" fillId="0" borderId="15" xfId="1" applyNumberFormat="1" applyFont="1" applyFill="1" applyBorder="1" applyAlignment="1">
      <alignment horizontal="center" vertical="center"/>
    </xf>
    <xf numFmtId="14" fontId="3" fillId="0" borderId="15" xfId="1" applyNumberFormat="1" applyFill="1" applyBorder="1" applyAlignment="1">
      <alignment horizontal="center" vertical="center"/>
    </xf>
    <xf numFmtId="0" fontId="0" fillId="0" borderId="15" xfId="3" applyNumberFormat="1" applyFon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3" fontId="0" fillId="0" borderId="15" xfId="0" applyNumberForma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4" fontId="3" fillId="0" borderId="10" xfId="1" applyNumberFormat="1" applyFont="1" applyFill="1" applyBorder="1" applyAlignment="1">
      <alignment horizontal="center" vertical="center"/>
    </xf>
  </cellXfs>
  <cellStyles count="4">
    <cellStyle name="Bom" xfId="2" builtinId="26"/>
    <cellStyle name="Moeda" xfId="3" builtinId="4"/>
    <cellStyle name="Normal" xfId="0" builtinId="0"/>
    <cellStyle name="Ruim" xfId="1" builtinId="27"/>
  </cellStyles>
  <dxfs count="7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499984740745262"/>
      </font>
      <fill>
        <patternFill>
          <bgColor theme="8" tint="0.59996337778862885"/>
        </patternFill>
      </fill>
    </dxf>
    <dxf>
      <font>
        <color rgb="FF00863D"/>
      </font>
      <fill>
        <patternFill>
          <bgColor rgb="FF7CD69A"/>
        </patternFill>
      </fill>
    </dxf>
    <dxf>
      <font>
        <color theme="1" tint="0.24994659260841701"/>
      </font>
      <fill>
        <patternFill>
          <bgColor theme="0" tint="-4.9989318521683403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8" tint="-0.499984740745262"/>
      </font>
      <fill>
        <patternFill>
          <bgColor theme="8" tint="0.59996337778862885"/>
        </patternFill>
      </fill>
    </dxf>
    <dxf>
      <font>
        <color rgb="FF00863D"/>
      </font>
      <fill>
        <patternFill>
          <bgColor rgb="FF7CD69A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7030A0"/>
      </font>
      <fill>
        <patternFill>
          <bgColor rgb="FFEE8BFF"/>
        </patternFill>
      </fill>
    </dxf>
    <dxf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9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/>
        <vertical/>
        <horizontal/>
      </border>
    </dxf>
    <dxf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/>
        <vertical/>
        <horizontal/>
      </border>
    </dxf>
    <dxf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numFmt numFmtId="164" formatCode="###\-#/26"/>
      <alignment horizontal="center" vertical="center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color theme="1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color theme="1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numFmt numFmtId="19" formatCode="dd/mm/yyyy"/>
      <alignment horizontal="center" vertical="center" textRotation="0" wrapText="1" indent="0" justifyLastLine="0" shrinkToFit="0" readingOrder="0"/>
      <border diagonalUp="0" diagonalDown="0">
        <left/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border>
        <top style="thin">
          <color theme="3" tint="0.499984740745262"/>
        </top>
      </border>
    </dxf>
    <dxf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alignment vertical="center" textRotation="0" wrapText="0" indent="0" justifyLastLine="0" shrinkToFit="0" readingOrder="0"/>
    </dxf>
    <dxf>
      <border>
        <bottom style="thin">
          <color theme="3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/>
        <bottom/>
      </border>
    </dxf>
  </dxfs>
  <tableStyles count="1" defaultTableStyle="TableStyleMedium2" defaultPivotStyle="PivotStyleLight16">
    <tableStyle name="Invisible" pivot="0" table="0" count="0" xr9:uid="{B7CCDAFF-6821-4F63-84FD-6E77664D6C7F}"/>
  </tableStyles>
  <colors>
    <mruColors>
      <color rgb="FF00863D"/>
      <color rgb="FFEE8BFF"/>
      <color rgb="FFAB29F3"/>
      <color rgb="FF9C5700"/>
      <color rgb="FF6CA644"/>
      <color rgb="FF48E657"/>
      <color rgb="FF7BED86"/>
      <color rgb="FFC6E0B4"/>
      <color rgb="FFFF9999"/>
      <color rgb="FFAC5E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863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A5B-448E-8450-7F5AA4372F5B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A5B-448E-8450-7F5AA4372F5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GRAFICOS!$H$3:$H$4</c:f>
              <c:strCache>
                <c:ptCount val="2"/>
                <c:pt idx="0">
                  <c:v>FINALIZADAS</c:v>
                </c:pt>
                <c:pt idx="1">
                  <c:v>AGUARDANDO RETORNO</c:v>
                </c:pt>
              </c:strCache>
            </c:strRef>
          </c:cat>
          <c:val>
            <c:numRef>
              <c:f>GRAFICOS!$I$3:$I$4</c:f>
              <c:numCache>
                <c:formatCode>General</c:formatCode>
                <c:ptCount val="2"/>
                <c:pt idx="0">
                  <c:v>85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3-4FC5-9386-C42E0722657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863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B58-464C-8290-8EC55019089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23C-4E67-8825-8EEBAF1BD94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GRAFICOS!$H$18:$H$19</c:f>
              <c:strCache>
                <c:ptCount val="2"/>
                <c:pt idx="0">
                  <c:v>FINALIZADAS</c:v>
                </c:pt>
                <c:pt idx="1">
                  <c:v>AGUARDANDO RETORNO</c:v>
                </c:pt>
              </c:strCache>
            </c:strRef>
          </c:cat>
          <c:val>
            <c:numRef>
              <c:f>GRAFICOS!$I$18:$I$19</c:f>
              <c:numCache>
                <c:formatCode>General</c:formatCode>
                <c:ptCount val="2"/>
                <c:pt idx="0">
                  <c:v>9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58-464C-8290-8EC5501908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2857</xdr:rowOff>
    </xdr:from>
    <xdr:to>
      <xdr:col>6</xdr:col>
      <xdr:colOff>600075</xdr:colOff>
      <xdr:row>16</xdr:row>
      <xdr:rowOff>21907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23DA465-C888-3BAA-8CDA-0082FE9CBB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274320</xdr:colOff>
      <xdr:row>2</xdr:row>
      <xdr:rowOff>118110</xdr:rowOff>
    </xdr:from>
    <xdr:to>
      <xdr:col>16</xdr:col>
      <xdr:colOff>579120</xdr:colOff>
      <xdr:row>17</xdr:row>
      <xdr:rowOff>118110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09EF892-C6CE-BF72-A780-EE7365E073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CM\Gest&#227;o%20da%20Manuten&#231;&#227;o\02.000%20-%20Entressafra\Entressafra%202024-2025\01.000%20-%20Cartas%20Convite\01%20-%20Controle%20Geral\Controle%20Cartas%20Convites%202.xlsx" TargetMode="External"/><Relationship Id="rId1" Type="http://schemas.openxmlformats.org/officeDocument/2006/relationships/externalLinkPath" Target="file:///V:\PCM\Gest&#227;o%20da%20Manuten&#231;&#227;o\02.000%20-%20Entressafra\Entressafra%202024-2025\01.000%20-%20Cartas%20Convite\01%20-%20Controle%20Geral\Controle%20Cartas%20Convites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tas Convite"/>
      <sheetName val="Equalizações"/>
      <sheetName val="Planilha1"/>
      <sheetName val="Auxiliar"/>
    </sheetNames>
    <sheetDataSet>
      <sheetData sheetId="0">
        <row r="61">
          <cell r="H61" t="str">
            <v>Engevap/TM Force/ 
Proinspeção/ Perticarari / QualyService/ Doutor Caldeiras</v>
          </cell>
        </row>
        <row r="71">
          <cell r="H71" t="str">
            <v>TECNIT/PROSPERA</v>
          </cell>
        </row>
      </sheetData>
      <sheetData sheetId="1">
        <row r="2">
          <cell r="U2" t="str">
            <v>EMPRESAS QUE RESPONDERAM</v>
          </cell>
          <cell r="V2"/>
          <cell r="W2"/>
          <cell r="X2"/>
          <cell r="Y2"/>
        </row>
        <row r="3">
          <cell r="S3" t="str">
            <v>PROPOSTAS RECEBIDAS</v>
          </cell>
          <cell r="T3" t="str">
            <v>ENVIO
EQUALIZAÇÃO</v>
          </cell>
          <cell r="U3" t="str">
            <v>FORNECEDOR A</v>
          </cell>
          <cell r="V3" t="str">
            <v>FORNECEDOR B</v>
          </cell>
          <cell r="W3" t="str">
            <v>FORNECEDOR C</v>
          </cell>
          <cell r="X3" t="str">
            <v>FORNECEDOR D</v>
          </cell>
          <cell r="Y3" t="str">
            <v>FORNECEDOR E</v>
          </cell>
        </row>
        <row r="4">
          <cell r="S4">
            <v>5</v>
          </cell>
          <cell r="T4">
            <v>45512</v>
          </cell>
          <cell r="U4" t="str">
            <v>PROLINK</v>
          </cell>
          <cell r="V4" t="str">
            <v>GENERAL CHAINS</v>
          </cell>
          <cell r="W4" t="str">
            <v>ELLO CORRENTS</v>
          </cell>
          <cell r="X4" t="str">
            <v>LINKSTEEL</v>
          </cell>
          <cell r="Y4" t="str">
            <v>TETRACOM</v>
          </cell>
        </row>
        <row r="5">
          <cell r="S5">
            <v>5</v>
          </cell>
          <cell r="T5">
            <v>45525</v>
          </cell>
          <cell r="U5" t="str">
            <v>DESIDÉRIO</v>
          </cell>
          <cell r="V5" t="str">
            <v>ORIENTE</v>
          </cell>
          <cell r="W5" t="str">
            <v>RENOVA</v>
          </cell>
          <cell r="X5" t="str">
            <v>RRV</v>
          </cell>
          <cell r="Y5" t="str">
            <v>FATTO</v>
          </cell>
        </row>
        <row r="6">
          <cell r="S6">
            <v>3</v>
          </cell>
          <cell r="T6">
            <v>45526</v>
          </cell>
          <cell r="U6" t="str">
            <v>MAXLUBRI</v>
          </cell>
          <cell r="V6" t="str">
            <v>TRATLUB</v>
          </cell>
          <cell r="W6" t="str">
            <v>PURILUB</v>
          </cell>
          <cell r="X6"/>
          <cell r="Y6"/>
        </row>
        <row r="7">
          <cell r="S7">
            <v>7</v>
          </cell>
          <cell r="T7">
            <v>45533</v>
          </cell>
          <cell r="U7" t="str">
            <v>DEDINI 
(DECLINOU)</v>
          </cell>
          <cell r="V7" t="str">
            <v>DOURADOS 
(DECLINOU)</v>
          </cell>
          <cell r="W7" t="str">
            <v>MEFSA</v>
          </cell>
          <cell r="X7" t="str">
            <v>THEODOR</v>
          </cell>
          <cell r="Y7" t="str">
            <v>MORENO
(DECLINOU)</v>
          </cell>
        </row>
        <row r="8">
          <cell r="S8">
            <v>6</v>
          </cell>
          <cell r="T8">
            <v>45533</v>
          </cell>
          <cell r="U8" t="str">
            <v>MEFSA</v>
          </cell>
          <cell r="V8" t="str">
            <v>MORENO
(DECLINOU)</v>
          </cell>
          <cell r="W8" t="str">
            <v>CCM</v>
          </cell>
          <cell r="X8" t="str">
            <v>DEDINI</v>
          </cell>
          <cell r="Y8" t="str">
            <v>SIMISA
RESPONDEU COMPRAS</v>
          </cell>
        </row>
        <row r="9">
          <cell r="S9">
            <v>4</v>
          </cell>
          <cell r="T9">
            <v>45546</v>
          </cell>
          <cell r="U9" t="str">
            <v>ENGINEERS</v>
          </cell>
          <cell r="V9" t="str">
            <v>ENGEVESSEL</v>
          </cell>
          <cell r="W9" t="str">
            <v>JRE INSPEÇÃO</v>
          </cell>
          <cell r="X9" t="str">
            <v>ENGETEX</v>
          </cell>
          <cell r="Y9"/>
        </row>
        <row r="10">
          <cell r="S10">
            <v>4</v>
          </cell>
          <cell r="T10">
            <v>45547</v>
          </cell>
          <cell r="U10" t="str">
            <v>SOLIEND</v>
          </cell>
          <cell r="V10" t="str">
            <v>SB END</v>
          </cell>
          <cell r="W10" t="str">
            <v>QUALYSERVICE</v>
          </cell>
          <cell r="X10" t="str">
            <v>WELDING</v>
          </cell>
          <cell r="Y10"/>
        </row>
        <row r="11">
          <cell r="S11">
            <v>7</v>
          </cell>
          <cell r="T11">
            <v>45553</v>
          </cell>
          <cell r="U11" t="str">
            <v>RENOVA</v>
          </cell>
          <cell r="V11" t="str">
            <v>FERREMAQ</v>
          </cell>
          <cell r="W11" t="str">
            <v>ADSERVICE
(DECLINOU)</v>
          </cell>
          <cell r="X11" t="str">
            <v>VIBROTEC</v>
          </cell>
          <cell r="Y11" t="str">
            <v>TJR
(NÃO RESPONDEU)</v>
          </cell>
        </row>
        <row r="12">
          <cell r="S12">
            <v>6</v>
          </cell>
          <cell r="T12">
            <v>45553</v>
          </cell>
          <cell r="U12" t="str">
            <v>GMTEC</v>
          </cell>
          <cell r="V12" t="str">
            <v>SEW*</v>
          </cell>
          <cell r="W12" t="str">
            <v>SB END</v>
          </cell>
          <cell r="X12" t="str">
            <v>WORTICE</v>
          </cell>
          <cell r="Y12" t="str">
            <v>Welding
(NÃO RESPONDEU)</v>
          </cell>
        </row>
        <row r="13">
          <cell r="S13">
            <v>2</v>
          </cell>
          <cell r="T13">
            <v>45561</v>
          </cell>
          <cell r="U13" t="str">
            <v>WORTICE</v>
          </cell>
          <cell r="V13" t="str">
            <v>TGM</v>
          </cell>
          <cell r="W13"/>
          <cell r="X13"/>
          <cell r="Y13"/>
        </row>
        <row r="14">
          <cell r="S14">
            <v>3</v>
          </cell>
          <cell r="T14">
            <v>45577</v>
          </cell>
          <cell r="U14" t="str">
            <v>RB SERVIÇOS</v>
          </cell>
          <cell r="V14" t="str">
            <v>COBERMIL</v>
          </cell>
          <cell r="W14" t="str">
            <v>VETTOR</v>
          </cell>
          <cell r="X14"/>
          <cell r="Y14"/>
        </row>
        <row r="15">
          <cell r="S15">
            <v>3</v>
          </cell>
          <cell r="T15">
            <v>45581</v>
          </cell>
          <cell r="U15" t="str">
            <v>AERO</v>
          </cell>
          <cell r="V15" t="str">
            <v>VIBROTEC</v>
          </cell>
          <cell r="W15" t="str">
            <v>ASTE</v>
          </cell>
          <cell r="X15"/>
          <cell r="Y15"/>
        </row>
        <row r="16">
          <cell r="S16">
            <v>5</v>
          </cell>
          <cell r="T16">
            <v>45581</v>
          </cell>
          <cell r="U16" t="str">
            <v>SOLIEND</v>
          </cell>
          <cell r="V16" t="str">
            <v>WELDING</v>
          </cell>
          <cell r="W16" t="str">
            <v>QUALYSERVICE</v>
          </cell>
          <cell r="X16" t="str">
            <v>SB END
(NÃO ENVIOU)</v>
          </cell>
          <cell r="Y16" t="str">
            <v>JRE
(NÃO ENVIOU)</v>
          </cell>
        </row>
        <row r="17">
          <cell r="S17">
            <v>5</v>
          </cell>
          <cell r="T17">
            <v>45581</v>
          </cell>
          <cell r="U17" t="str">
            <v>TECVISO</v>
          </cell>
          <cell r="V17" t="str">
            <v>VISORTECH</v>
          </cell>
          <cell r="W17" t="str">
            <v>PMATEC</v>
          </cell>
          <cell r="X17" t="str">
            <v>TECNOVAL</v>
          </cell>
          <cell r="Y17" t="str">
            <v>AUREA
(NÃO ENVIOU)</v>
          </cell>
        </row>
        <row r="18">
          <cell r="S18">
            <v>5</v>
          </cell>
          <cell r="T18">
            <v>45581</v>
          </cell>
          <cell r="U18" t="str">
            <v>WEG</v>
          </cell>
          <cell r="V18" t="str">
            <v>HARPIA</v>
          </cell>
          <cell r="W18" t="str">
            <v>Data Engenharia</v>
          </cell>
          <cell r="X18" t="str">
            <v>Buscarioli
(não enviou)</v>
          </cell>
          <cell r="Y18" t="str">
            <v>Ecovis
(Fora Prazo)</v>
          </cell>
        </row>
        <row r="19">
          <cell r="S19">
            <v>3</v>
          </cell>
          <cell r="T19">
            <v>45590</v>
          </cell>
          <cell r="U19" t="str">
            <v>TJA</v>
          </cell>
          <cell r="V19" t="str">
            <v>APM</v>
          </cell>
          <cell r="W19" t="str">
            <v>Tecnoval</v>
          </cell>
          <cell r="X19"/>
          <cell r="Y19"/>
        </row>
        <row r="20">
          <cell r="S20">
            <v>3</v>
          </cell>
          <cell r="T20">
            <v>45610</v>
          </cell>
          <cell r="U20" t="str">
            <v>PROMAC
(DECLINOU)</v>
          </cell>
          <cell r="V20" t="str">
            <v>INDTEC
(DECLINOU)</v>
          </cell>
          <cell r="W20" t="str">
            <v>SERVITEC</v>
          </cell>
          <cell r="X20"/>
          <cell r="Y20"/>
        </row>
        <row r="21">
          <cell r="S21">
            <v>5</v>
          </cell>
          <cell r="T21">
            <v>45581</v>
          </cell>
          <cell r="U21" t="str">
            <v>CLYDE
(DECLINOU)</v>
          </cell>
          <cell r="V21" t="str">
            <v>HEROM</v>
          </cell>
          <cell r="W21" t="str">
            <v>PROMOEN</v>
          </cell>
          <cell r="X21" t="str">
            <v>PROTHER</v>
          </cell>
          <cell r="Y21" t="str">
            <v>LSI
(NÃO ENVIOU)</v>
          </cell>
        </row>
        <row r="22">
          <cell r="S22">
            <v>7</v>
          </cell>
          <cell r="T22">
            <v>45588</v>
          </cell>
          <cell r="U22" t="str">
            <v>ORCA</v>
          </cell>
          <cell r="V22" t="str">
            <v>MONINSC</v>
          </cell>
          <cell r="W22" t="str">
            <v>frs
(declinou)</v>
          </cell>
          <cell r="X22" t="str">
            <v>GLM</v>
          </cell>
          <cell r="Y22" t="str">
            <v>MR MONTAGENS
(Não resp.)</v>
          </cell>
        </row>
        <row r="23">
          <cell r="S23">
            <v>1</v>
          </cell>
          <cell r="T23">
            <v>45659</v>
          </cell>
          <cell r="U23" t="str">
            <v>ORCA</v>
          </cell>
          <cell r="V23"/>
          <cell r="W23"/>
          <cell r="X23"/>
          <cell r="Y23"/>
        </row>
        <row r="24">
          <cell r="S24">
            <v>5</v>
          </cell>
          <cell r="T24">
            <v>45590</v>
          </cell>
          <cell r="U24" t="str">
            <v>ACCI</v>
          </cell>
          <cell r="V24" t="str">
            <v>GMG</v>
          </cell>
          <cell r="W24" t="str">
            <v>Engistrel</v>
          </cell>
          <cell r="X24" t="str">
            <v>GSA</v>
          </cell>
          <cell r="Y24" t="str">
            <v>ER FLOW</v>
          </cell>
        </row>
        <row r="25">
          <cell r="S25">
            <v>3</v>
          </cell>
          <cell r="T25">
            <v>45600</v>
          </cell>
          <cell r="U25" t="str">
            <v>zepponi</v>
          </cell>
          <cell r="V25" t="str">
            <v>tecnoval</v>
          </cell>
          <cell r="W25" t="str">
            <v>sealvalve</v>
          </cell>
          <cell r="X25"/>
          <cell r="Y25"/>
        </row>
        <row r="26">
          <cell r="S26">
            <v>4</v>
          </cell>
          <cell r="T26">
            <v>45602</v>
          </cell>
          <cell r="U26" t="str">
            <v>EQUILIBRIO</v>
          </cell>
          <cell r="V26" t="str">
            <v>FASTDRIVE</v>
          </cell>
          <cell r="W26" t="str">
            <v>APS</v>
          </cell>
          <cell r="X26" t="str">
            <v>ELETROLUCAS</v>
          </cell>
          <cell r="Y26"/>
        </row>
        <row r="27">
          <cell r="S27">
            <v>5</v>
          </cell>
          <cell r="T27">
            <v>45603</v>
          </cell>
          <cell r="U27" t="str">
            <v>NS</v>
          </cell>
          <cell r="V27" t="str">
            <v>DAR AGRO</v>
          </cell>
          <cell r="W27" t="str">
            <v>ZAP</v>
          </cell>
          <cell r="X27" t="str">
            <v>MFC</v>
          </cell>
          <cell r="Y27" t="str">
            <v>DRW
(NÃO RESPONDEU)</v>
          </cell>
        </row>
        <row r="28">
          <cell r="S28">
            <v>7</v>
          </cell>
          <cell r="T28">
            <v>45603</v>
          </cell>
          <cell r="U28" t="str">
            <v>SMI</v>
          </cell>
          <cell r="V28" t="str">
            <v>ZAP</v>
          </cell>
          <cell r="W28" t="str">
            <v>DAR AGRO</v>
          </cell>
          <cell r="X28" t="str">
            <v>NS</v>
          </cell>
          <cell r="Y28" t="str">
            <v>DRW</v>
          </cell>
        </row>
        <row r="29">
          <cell r="S29">
            <v>7</v>
          </cell>
          <cell r="T29">
            <v>45603</v>
          </cell>
          <cell r="U29" t="str">
            <v>SMI</v>
          </cell>
          <cell r="V29" t="str">
            <v>NS</v>
          </cell>
          <cell r="W29" t="str">
            <v>ZAP</v>
          </cell>
          <cell r="X29" t="str">
            <v xml:space="preserve">DAR AGRO </v>
          </cell>
          <cell r="Y29" t="str">
            <v>GAMMA</v>
          </cell>
        </row>
        <row r="30">
          <cell r="S30">
            <v>1</v>
          </cell>
          <cell r="T30">
            <v>45659</v>
          </cell>
          <cell r="U30" t="str">
            <v>DAR AGRO</v>
          </cell>
          <cell r="V30"/>
          <cell r="W30"/>
          <cell r="X30"/>
          <cell r="Y30"/>
        </row>
        <row r="31">
          <cell r="S31">
            <v>7</v>
          </cell>
          <cell r="T31">
            <v>45603</v>
          </cell>
          <cell r="U31" t="str">
            <v>SMI</v>
          </cell>
          <cell r="V31" t="str">
            <v>DAR AGRO</v>
          </cell>
          <cell r="W31" t="str">
            <v>ZAP</v>
          </cell>
          <cell r="X31" t="str">
            <v>DRW</v>
          </cell>
          <cell r="Y31" t="str">
            <v>GTS</v>
          </cell>
        </row>
        <row r="32">
          <cell r="S32">
            <v>7</v>
          </cell>
          <cell r="T32">
            <v>45603</v>
          </cell>
          <cell r="U32" t="str">
            <v>KCAL</v>
          </cell>
          <cell r="V32" t="str">
            <v>VALSEV</v>
          </cell>
          <cell r="W32" t="str">
            <v>SEALVALVE</v>
          </cell>
          <cell r="X32" t="str">
            <v>TECNOVAL</v>
          </cell>
          <cell r="Y32" t="str">
            <v>ZEPPONI
(NÃO RESPONDEU)</v>
          </cell>
        </row>
        <row r="33">
          <cell r="S33">
            <v>4</v>
          </cell>
          <cell r="T33">
            <v>45603</v>
          </cell>
          <cell r="U33" t="str">
            <v>FASTDRIVE</v>
          </cell>
          <cell r="V33" t="str">
            <v>APS</v>
          </cell>
          <cell r="W33" t="str">
            <v>ELETROLUCAS</v>
          </cell>
          <cell r="X33" t="str">
            <v>EQUILIBRIO
(NÃO RESPONDEU)</v>
          </cell>
          <cell r="Y33"/>
        </row>
        <row r="34">
          <cell r="S34">
            <v>4</v>
          </cell>
          <cell r="T34">
            <v>45603</v>
          </cell>
          <cell r="U34" t="str">
            <v>SINER</v>
          </cell>
          <cell r="V34" t="str">
            <v>SERCAMP</v>
          </cell>
          <cell r="W34" t="str">
            <v>PROSEP</v>
          </cell>
          <cell r="X34" t="str">
            <v>EQUILIBRIO
(NÃO RESPONDEU)</v>
          </cell>
          <cell r="Y34"/>
        </row>
        <row r="35">
          <cell r="S35">
            <v>3</v>
          </cell>
          <cell r="T35">
            <v>45603</v>
          </cell>
          <cell r="U35" t="str">
            <v>FRONTAL</v>
          </cell>
          <cell r="V35" t="str">
            <v>MONTEJA</v>
          </cell>
          <cell r="W35" t="str">
            <v>GRUPO MATOS</v>
          </cell>
          <cell r="X35"/>
          <cell r="Y35"/>
        </row>
        <row r="36">
          <cell r="S36">
            <v>5</v>
          </cell>
          <cell r="T36">
            <v>45603</v>
          </cell>
          <cell r="U36" t="str">
            <v>ZEPPONI</v>
          </cell>
          <cell r="V36" t="str">
            <v>Kcal</v>
          </cell>
          <cell r="W36" t="str">
            <v>TECNOVAL</v>
          </cell>
          <cell r="X36" t="str">
            <v>VALSEV</v>
          </cell>
          <cell r="Y36" t="str">
            <v>HidroVapor</v>
          </cell>
        </row>
        <row r="37">
          <cell r="S37">
            <v>7</v>
          </cell>
          <cell r="T37">
            <v>45603</v>
          </cell>
          <cell r="U37" t="str">
            <v>VETEK
(DECLINOU)</v>
          </cell>
          <cell r="V37" t="str">
            <v>TJR</v>
          </cell>
          <cell r="W37" t="str">
            <v>SILVER WEIBULL</v>
          </cell>
          <cell r="X37" t="str">
            <v>FERREMAQ</v>
          </cell>
          <cell r="Y37" t="str">
            <v>VIBROTEC</v>
          </cell>
        </row>
        <row r="38">
          <cell r="S38">
            <v>4</v>
          </cell>
          <cell r="T38">
            <v>45603</v>
          </cell>
          <cell r="U38" t="str">
            <v>LOXAM</v>
          </cell>
          <cell r="V38" t="str">
            <v>TECNOGERA</v>
          </cell>
          <cell r="W38" t="str">
            <v>MAKFIL</v>
          </cell>
          <cell r="X38" t="str">
            <v>TRIANGULO</v>
          </cell>
          <cell r="Y38"/>
        </row>
        <row r="39">
          <cell r="S39">
            <v>5</v>
          </cell>
          <cell r="T39">
            <v>45604</v>
          </cell>
          <cell r="U39" t="str">
            <v>JACOMASSI</v>
          </cell>
          <cell r="V39" t="str">
            <v>GMIG</v>
          </cell>
          <cell r="W39" t="str">
            <v>GIGANTÃO</v>
          </cell>
          <cell r="X39" t="str">
            <v>CALDEMIL</v>
          </cell>
          <cell r="Y39" t="str">
            <v>BETEL</v>
          </cell>
        </row>
        <row r="40">
          <cell r="S40">
            <v>3</v>
          </cell>
          <cell r="T40">
            <v>45604</v>
          </cell>
          <cell r="U40" t="str">
            <v>VIBROTEC</v>
          </cell>
          <cell r="V40" t="str">
            <v>VIBROMAQ
(declinou)</v>
          </cell>
          <cell r="W40" t="str">
            <v>EQUILIBRIO</v>
          </cell>
          <cell r="X40"/>
          <cell r="Y40"/>
        </row>
        <row r="41">
          <cell r="S41">
            <v>1</v>
          </cell>
          <cell r="T41">
            <v>45623</v>
          </cell>
          <cell r="U41" t="str">
            <v>TMFORCE</v>
          </cell>
          <cell r="V41"/>
          <cell r="W41"/>
          <cell r="X41"/>
          <cell r="Y41"/>
        </row>
        <row r="42">
          <cell r="S42">
            <v>7</v>
          </cell>
          <cell r="T42">
            <v>45625</v>
          </cell>
          <cell r="U42" t="str">
            <v>MONINSC</v>
          </cell>
          <cell r="V42" t="str">
            <v>ORCA
(DECLINOU)</v>
          </cell>
          <cell r="W42" t="str">
            <v>frs
(declinou)</v>
          </cell>
          <cell r="X42" t="str">
            <v xml:space="preserve">Zap
</v>
          </cell>
          <cell r="Y42" t="str">
            <v>GRUPO LIMA</v>
          </cell>
        </row>
        <row r="43">
          <cell r="S43">
            <v>3</v>
          </cell>
          <cell r="T43">
            <v>45639</v>
          </cell>
          <cell r="U43" t="str">
            <v>MANUTROL</v>
          </cell>
          <cell r="V43" t="str">
            <v>Agapito</v>
          </cell>
          <cell r="W43" t="str">
            <v>Rplates</v>
          </cell>
          <cell r="X43"/>
          <cell r="Y43"/>
        </row>
        <row r="44">
          <cell r="S44">
            <v>4</v>
          </cell>
          <cell r="T44">
            <v>45635</v>
          </cell>
          <cell r="U44" t="str">
            <v>CESTARI</v>
          </cell>
          <cell r="V44" t="str">
            <v>MACOPEMA</v>
          </cell>
          <cell r="W44" t="str">
            <v>ADDN</v>
          </cell>
          <cell r="X44" t="str">
            <v>Wórtice</v>
          </cell>
          <cell r="Y44"/>
        </row>
        <row r="45">
          <cell r="S45">
            <v>4</v>
          </cell>
          <cell r="T45">
            <v>45635</v>
          </cell>
          <cell r="U45" t="str">
            <v>TECSUGAR</v>
          </cell>
          <cell r="V45" t="str">
            <v>FERREMAQ</v>
          </cell>
          <cell r="W45" t="str">
            <v>RENOVA</v>
          </cell>
          <cell r="X45" t="str">
            <v>VIBROTEC</v>
          </cell>
          <cell r="Y45"/>
        </row>
        <row r="46">
          <cell r="S46">
            <v>3</v>
          </cell>
          <cell r="T46">
            <v>45644</v>
          </cell>
          <cell r="U46" t="str">
            <v>ZAP</v>
          </cell>
          <cell r="V46" t="str">
            <v>GAMMA
(Ag.Email com Garantia)</v>
          </cell>
          <cell r="W46" t="str">
            <v>SB END</v>
          </cell>
          <cell r="X46"/>
          <cell r="Y46"/>
        </row>
        <row r="47">
          <cell r="S47">
            <v>2</v>
          </cell>
          <cell r="T47"/>
          <cell r="U47" t="str">
            <v>HIGRA</v>
          </cell>
          <cell r="V47" t="str">
            <v>RWBOMBAS</v>
          </cell>
          <cell r="W47"/>
          <cell r="X47"/>
          <cell r="Y47"/>
        </row>
        <row r="48">
          <cell r="S48">
            <v>3</v>
          </cell>
          <cell r="T48">
            <v>45635</v>
          </cell>
          <cell r="U48" t="str">
            <v>Trigger</v>
          </cell>
          <cell r="V48" t="str">
            <v>RenoDrives</v>
          </cell>
          <cell r="W48" t="str">
            <v>MasterDrives</v>
          </cell>
          <cell r="X48"/>
          <cell r="Y48"/>
        </row>
        <row r="49">
          <cell r="S49">
            <v>1</v>
          </cell>
          <cell r="T49"/>
          <cell r="U49" t="str">
            <v>DEDINE</v>
          </cell>
          <cell r="V49"/>
          <cell r="W49"/>
          <cell r="X49"/>
          <cell r="Y49"/>
        </row>
        <row r="50">
          <cell r="S50">
            <v>3</v>
          </cell>
          <cell r="T50">
            <v>45642</v>
          </cell>
          <cell r="U50" t="str">
            <v>SINER</v>
          </cell>
          <cell r="V50" t="str">
            <v>SOS</v>
          </cell>
          <cell r="W50" t="str">
            <v>Prosep</v>
          </cell>
          <cell r="X50"/>
          <cell r="Y50"/>
        </row>
        <row r="51">
          <cell r="S51">
            <v>1</v>
          </cell>
          <cell r="T51" t="str">
            <v xml:space="preserve">EDVALDO REALIZOU </v>
          </cell>
          <cell r="U51" t="str">
            <v>TRIANG
(DECLINOU)</v>
          </cell>
          <cell r="V51"/>
          <cell r="W51"/>
          <cell r="X51"/>
          <cell r="Y51"/>
        </row>
        <row r="52">
          <cell r="S52">
            <v>3</v>
          </cell>
          <cell r="T52">
            <v>45638</v>
          </cell>
          <cell r="U52" t="str">
            <v>MasterDrives</v>
          </cell>
          <cell r="V52" t="str">
            <v>RenoDrives</v>
          </cell>
          <cell r="W52" t="str">
            <v>WEG 
(DECLINOU)</v>
          </cell>
          <cell r="X52"/>
          <cell r="Y52"/>
        </row>
        <row r="53">
          <cell r="S53">
            <v>5</v>
          </cell>
          <cell r="T53"/>
          <cell r="U53" t="str">
            <v>TMFORCE</v>
          </cell>
          <cell r="V53" t="str">
            <v>QualyService</v>
          </cell>
          <cell r="W53" t="str">
            <v>Engevap 
(Respondeu fora do prazo)</v>
          </cell>
          <cell r="X53" t="str">
            <v>WELDING
(Respondeu fora do prazo)</v>
          </cell>
          <cell r="Y53" t="str">
            <v>Perticarari</v>
          </cell>
        </row>
        <row r="54">
          <cell r="S54">
            <v>5</v>
          </cell>
          <cell r="T54">
            <v>45645</v>
          </cell>
          <cell r="U54" t="str">
            <v>GRUPOLIMA
(DECLINOU)</v>
          </cell>
          <cell r="V54" t="str">
            <v>ZAP</v>
          </cell>
          <cell r="W54" t="str">
            <v>MG MONTAGEM</v>
          </cell>
          <cell r="X54" t="str">
            <v>SBEND</v>
          </cell>
          <cell r="Y54" t="str">
            <v>MFC
Ag. Email</v>
          </cell>
        </row>
        <row r="55">
          <cell r="S55">
            <v>5</v>
          </cell>
          <cell r="T55">
            <v>45649</v>
          </cell>
          <cell r="U55" t="str">
            <v>HIDRO Vapor</v>
          </cell>
          <cell r="V55" t="str">
            <v>ZEPPONI</v>
          </cell>
          <cell r="W55" t="str">
            <v>Tecnoval</v>
          </cell>
          <cell r="X55" t="str">
            <v>Promoen</v>
          </cell>
          <cell r="Y55" t="str">
            <v>SealValve</v>
          </cell>
        </row>
        <row r="56">
          <cell r="S56">
            <v>3</v>
          </cell>
          <cell r="T56">
            <v>45638</v>
          </cell>
          <cell r="U56" t="str">
            <v>Normanha Service</v>
          </cell>
          <cell r="V56" t="str">
            <v>Master Energy</v>
          </cell>
          <cell r="W56" t="str">
            <v>Techenerg
(FORA DO PRAZO)</v>
          </cell>
          <cell r="X56"/>
          <cell r="Y56"/>
        </row>
        <row r="57">
          <cell r="S57">
            <v>0</v>
          </cell>
          <cell r="T57"/>
          <cell r="U57"/>
          <cell r="V57"/>
          <cell r="W57"/>
          <cell r="X57"/>
          <cell r="Y57"/>
        </row>
        <row r="58">
          <cell r="S58">
            <v>3</v>
          </cell>
          <cell r="T58">
            <v>45656</v>
          </cell>
          <cell r="U58" t="str">
            <v>TECVIBRO
(DECLINOU)</v>
          </cell>
          <cell r="V58" t="str">
            <v>SOLIEND</v>
          </cell>
          <cell r="W58" t="str">
            <v>Qualyservice</v>
          </cell>
          <cell r="X58"/>
          <cell r="Y58"/>
        </row>
        <row r="59">
          <cell r="S59">
            <v>4</v>
          </cell>
          <cell r="T59">
            <v>45645</v>
          </cell>
          <cell r="U59" t="str">
            <v>Siner</v>
          </cell>
          <cell r="V59" t="str">
            <v>Prosep</v>
          </cell>
          <cell r="W59" t="str">
            <v>JVP</v>
          </cell>
          <cell r="X59" t="str">
            <v>SOS</v>
          </cell>
          <cell r="Y59"/>
        </row>
        <row r="60">
          <cell r="S60">
            <v>2</v>
          </cell>
          <cell r="T60">
            <v>45663</v>
          </cell>
          <cell r="U60" t="str">
            <v>AddSolution</v>
          </cell>
          <cell r="V60" t="str">
            <v>INFOENG</v>
          </cell>
          <cell r="W60"/>
          <cell r="X60"/>
          <cell r="Y60"/>
        </row>
        <row r="61">
          <cell r="S61">
            <v>3</v>
          </cell>
          <cell r="T61">
            <v>45649</v>
          </cell>
          <cell r="U61" t="str">
            <v>AD SERVICE</v>
          </cell>
          <cell r="V61" t="str">
            <v>RENOVA</v>
          </cell>
          <cell r="W61" t="str">
            <v>CENTRIFUGAS RIBEIRÃO</v>
          </cell>
          <cell r="X61"/>
          <cell r="Y61"/>
        </row>
        <row r="62">
          <cell r="S62">
            <v>1</v>
          </cell>
          <cell r="T62" t="str">
            <v>OK, E-MAIL EDVALDO</v>
          </cell>
          <cell r="U62" t="str">
            <v>FCS SERVICE</v>
          </cell>
          <cell r="V62"/>
          <cell r="W62"/>
          <cell r="X62"/>
          <cell r="Y62"/>
        </row>
        <row r="63">
          <cell r="S63">
            <v>4</v>
          </cell>
          <cell r="T63" t="str">
            <v xml:space="preserve">EDVALDO REALIZOU </v>
          </cell>
          <cell r="U63" t="str">
            <v>ELETROKAL</v>
          </cell>
          <cell r="V63" t="str">
            <v>FERTRON</v>
          </cell>
          <cell r="W63" t="str">
            <v>PROSEP</v>
          </cell>
          <cell r="X63" t="str">
            <v>VALE DO NIQUEL</v>
          </cell>
          <cell r="Y63"/>
        </row>
        <row r="64">
          <cell r="S64">
            <v>4</v>
          </cell>
          <cell r="T64">
            <v>45664</v>
          </cell>
          <cell r="U64" t="str">
            <v>ORCA</v>
          </cell>
          <cell r="V64" t="str">
            <v>ZAP</v>
          </cell>
          <cell r="W64" t="str">
            <v>ENGMIL</v>
          </cell>
          <cell r="X64" t="str">
            <v>MR MONTAGENS</v>
          </cell>
          <cell r="Y64"/>
        </row>
        <row r="65">
          <cell r="S65">
            <v>3</v>
          </cell>
          <cell r="T65">
            <v>45659</v>
          </cell>
          <cell r="U65" t="str">
            <v>RenoDrives</v>
          </cell>
          <cell r="V65" t="str">
            <v>Fastdrive</v>
          </cell>
          <cell r="W65" t="str">
            <v>TRIGGER</v>
          </cell>
          <cell r="X65"/>
          <cell r="Y65"/>
        </row>
        <row r="66">
          <cell r="S66">
            <v>0</v>
          </cell>
          <cell r="T66">
            <v>45665</v>
          </cell>
          <cell r="U66"/>
          <cell r="V66"/>
          <cell r="W66"/>
          <cell r="X66"/>
          <cell r="Y66"/>
        </row>
        <row r="67">
          <cell r="S67">
            <v>3</v>
          </cell>
          <cell r="T67">
            <v>45663</v>
          </cell>
          <cell r="U67" t="str">
            <v>Riberman</v>
          </cell>
          <cell r="V67" t="str">
            <v>Rubbergood
(DECLINOU)</v>
          </cell>
          <cell r="W67" t="str">
            <v>PlantRubber 
(Ag. Email)</v>
          </cell>
          <cell r="X67"/>
          <cell r="Y67"/>
        </row>
        <row r="68">
          <cell r="S68">
            <v>0</v>
          </cell>
          <cell r="T68"/>
          <cell r="U68"/>
          <cell r="V68"/>
          <cell r="W68"/>
          <cell r="X68"/>
          <cell r="Y68"/>
        </row>
        <row r="69">
          <cell r="S69">
            <v>3</v>
          </cell>
          <cell r="T69">
            <v>45678</v>
          </cell>
          <cell r="U69" t="str">
            <v>MFC</v>
          </cell>
          <cell r="V69" t="str">
            <v>ZAP</v>
          </cell>
          <cell r="W69" t="str">
            <v>DAR AGRO</v>
          </cell>
          <cell r="X69"/>
          <cell r="Y69"/>
        </row>
        <row r="70">
          <cell r="S70">
            <v>4</v>
          </cell>
          <cell r="T70">
            <v>45656</v>
          </cell>
          <cell r="U70" t="str">
            <v>Ecovis</v>
          </cell>
          <cell r="V70" t="str">
            <v>Revoltis</v>
          </cell>
          <cell r="W70" t="str">
            <v>SOS Maquinas</v>
          </cell>
          <cell r="X70" t="str">
            <v>WEG</v>
          </cell>
          <cell r="Y70"/>
        </row>
        <row r="71">
          <cell r="S71">
            <v>1</v>
          </cell>
          <cell r="T71">
            <v>45674</v>
          </cell>
          <cell r="U71" t="str">
            <v>Tesla Energy</v>
          </cell>
          <cell r="V71"/>
          <cell r="W71"/>
          <cell r="X71"/>
          <cell r="Y71"/>
        </row>
        <row r="72">
          <cell r="S72">
            <v>0</v>
          </cell>
          <cell r="T72"/>
          <cell r="U72"/>
          <cell r="V72"/>
          <cell r="W72"/>
          <cell r="X72"/>
          <cell r="Y72"/>
        </row>
        <row r="74">
          <cell r="S74">
            <v>0</v>
          </cell>
          <cell r="T74" t="str">
            <v xml:space="preserve">EDVALDO REALIZOU </v>
          </cell>
          <cell r="U74"/>
          <cell r="V74"/>
          <cell r="W74"/>
          <cell r="X74"/>
          <cell r="Y74"/>
        </row>
        <row r="76">
          <cell r="S76">
            <v>3</v>
          </cell>
          <cell r="T76" t="str">
            <v xml:space="preserve">EDVALDO REALIZOU </v>
          </cell>
          <cell r="U76" t="str">
            <v>ENGND</v>
          </cell>
          <cell r="V76" t="str">
            <v>FERTRON</v>
          </cell>
          <cell r="W76" t="str">
            <v>MONT SERVC</v>
          </cell>
          <cell r="X76"/>
          <cell r="Y76"/>
        </row>
        <row r="77">
          <cell r="S77"/>
          <cell r="T77"/>
          <cell r="U77"/>
          <cell r="V77"/>
          <cell r="W77"/>
          <cell r="X77"/>
          <cell r="Y77"/>
        </row>
        <row r="78">
          <cell r="S78">
            <v>2</v>
          </cell>
          <cell r="T78"/>
          <cell r="U78" t="str">
            <v>JBR Engenharia</v>
          </cell>
          <cell r="V78" t="str">
            <v>SUCRANA</v>
          </cell>
          <cell r="W78"/>
          <cell r="X78"/>
          <cell r="Y78"/>
        </row>
        <row r="79">
          <cell r="S79">
            <v>0</v>
          </cell>
          <cell r="T79"/>
          <cell r="U79"/>
          <cell r="V79"/>
          <cell r="W79"/>
          <cell r="X79"/>
          <cell r="Y79"/>
        </row>
      </sheetData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B0B413-A827-432F-9B4E-4C3201958F92}" name="Tabela2" displayName="Tabela2" ref="A1:AE8" totalsRowShown="0" headerRowDxfId="73" dataDxfId="71" headerRowBorderDxfId="72" tableBorderDxfId="70" totalsRowBorderDxfId="69">
  <autoFilter ref="A1:AE8" xr:uid="{A92C2F2F-23D4-443A-8543-674262A99947}"/>
  <tableColumns count="31">
    <tableColumn id="1" xr3:uid="{FC405404-B44D-460C-9662-8ED518F1960C}" name="STATUS" dataDxfId="68">
      <calculatedColumnFormula>IF(Tabela2[[#This Row],[DATA DO PEDIDO]]&lt;&gt;"",
   "Finalizado",
   IF(Tabela2[[#This Row],[DATA ENVIO COMPRAS]]="",
      "Aguardando Coordenador",
      IF(Tabela2[[#This Row],[EQUALIZAÇÃO]]="",
         "Aguardando Fornecedores",
         "Aguardando Pedido"
      )
   )
)</calculatedColumnFormula>
    </tableColumn>
    <tableColumn id="2" xr3:uid="{EC5985CE-CB29-427A-A370-F1D047C52A00}" name="Tempo Pendente" dataDxfId="67" dataCellStyle="Ruim">
      <calculatedColumnFormula>IF(Tabela2[[#This Row],[DATA DO PEDIDO]]&lt;&gt;"","Finalizado",IF(Tabela2[[#This Row],[DATA ENVIO COMPRAS]]="","",_xlfn.DAYS(TODAY(),Tabela2[[#This Row],[DATA ENVIO COMPRAS]])&amp;IF(_xlfn.DAYS(TODAY(),Tabela2[[#This Row],[DATA ENVIO COMPRAS]])&gt;1," Dias"," Dia")))</calculatedColumnFormula>
    </tableColumn>
    <tableColumn id="35" xr3:uid="{16366B34-6D02-4906-9C46-863DADDC65FB}" name="TEMPO P/ FECHAMENTO" dataDxfId="66" dataCellStyle="Moeda">
      <calculatedColumnFormula>IF(Tabela2[[#This Row],[DATA DO PEDIDO]]&lt;&gt;"",Tabela2[[#This Row],[DATA DO PEDIDO]]-Tabela2[[#This Row],[DATA ENVIO COMPRAS]],"")</calculatedColumnFormula>
    </tableColumn>
    <tableColumn id="3" xr3:uid="{793AFCDB-EA3F-4388-A0AC-546978844E5B}" name="Seq." dataDxfId="65" dataCellStyle="Ruim">
      <calculatedColumnFormula>IF(D1="Seq.",1,D1+1)</calculatedColumnFormula>
    </tableColumn>
    <tableColumn id="12" xr3:uid="{38D151A9-E63A-4747-B419-11068D300350}" name="DATA ENVIO COMPRAS" dataDxfId="64" dataCellStyle="Ruim"/>
    <tableColumn id="37" xr3:uid="{4D6843B4-A878-4E61-B0C0-40122C6D1FC3}" name="Nº CARTA CONVITE" dataDxfId="63"/>
    <tableColumn id="4" xr3:uid="{87DDB59B-73CE-4638-81E0-49A67D91CF00}" name="PACOTES" dataDxfId="62"/>
    <tableColumn id="5" xr3:uid="{3C40D735-BBE4-4A95-88EE-6394C4C154FD}" name="ÁREA" dataDxfId="61"/>
    <tableColumn id="7" xr3:uid="{5242EAC7-4137-46FF-A04D-259C7EE7D150}" name="RESPONSÁVEL" dataDxfId="60"/>
    <tableColumn id="6" xr3:uid="{F12CCA5D-29F8-471B-BD4F-0A1B564C0E6A}" name="TIPO DE MANUTENÇÃO" dataDxfId="59"/>
    <tableColumn id="17" xr3:uid="{7015C15E-0E9E-41FB-9D49-F435D6BC5171}" name="COMPRADOR" dataDxfId="58" dataCellStyle="Bom"/>
    <tableColumn id="15" xr3:uid="{FDD279A4-F5EE-4541-AED9-E1E33AD71C75}" name="LISTA" dataDxfId="57" dataCellStyle="Bom"/>
    <tableColumn id="16" xr3:uid="{F1366859-6709-4B1E-A718-A217E93AD652}" name="PRAZO FINALIZAR" dataDxfId="56" dataCellStyle="Ruim">
      <calculatedColumnFormula>IF(E2="","",WORKDAY(E2,22))</calculatedColumnFormula>
    </tableColumn>
    <tableColumn id="18" xr3:uid="{2A5C242F-B6A6-46C6-ABC4-EB2AD3EC3405}" name="EQUALIZAÇÃO" dataDxfId="55" dataCellStyle="Ruim"/>
    <tableColumn id="9" xr3:uid="{322F2CF8-00FD-4CE2-8892-0B03E47CFC0E}" name="PROPOSTA TÉCNICA RESPONDIDA?" dataDxfId="54" dataCellStyle="Ruim"/>
    <tableColumn id="14" xr3:uid="{93D2245A-551A-4E44-88A6-3EBFEAA6DEB0}" name="PENDENTE" dataDxfId="53"/>
    <tableColumn id="29" xr3:uid="{77606C16-E7DB-4694-BC28-4F8D8A58A560}" name="DATA DO PEDIDO"/>
    <tableColumn id="11" xr3:uid="{E9071A85-B0E2-443A-B52F-682DB85C43BC}" name="NR. PEDIDO" dataDxfId="52"/>
    <tableColumn id="8" xr3:uid="{932CE890-F031-4154-A085-3E37190CEDF3}" name="VALOR" dataDxfId="51" dataCellStyle="Moeda"/>
    <tableColumn id="13" xr3:uid="{E47DE723-2E86-4A39-9B1C-F0C682A57074}" name="OBSERVAÇÕES" dataDxfId="50"/>
    <tableColumn id="31" xr3:uid="{C29C6A16-8120-4875-9E8E-1DBBDB38F7D0}" name="PROPOSTAS RECEBIDAS" dataDxfId="49">
      <calculatedColumnFormula>COUNTA(Tabela2[[#This Row],[FORNECEDOR A]:[FORNECEDOR G]])</calculatedColumnFormula>
    </tableColumn>
    <tableColumn id="19" xr3:uid="{889B8835-B905-42BC-9906-7FC7172DB6D5}" name="FORNECEDOR A" dataDxfId="48" dataCellStyle="Bom"/>
    <tableColumn id="20" xr3:uid="{8AD7E840-D6B6-4B64-AE35-13F2E617FE5C}" name="FORNECEDOR B" dataDxfId="47" dataCellStyle="Bom"/>
    <tableColumn id="21" xr3:uid="{B4565D2D-AFF4-4D43-B4AC-ADFC10E83F98}" name="FORNECEDOR C" dataDxfId="46" dataCellStyle="Bom"/>
    <tableColumn id="22" xr3:uid="{9FBA7F18-B382-4249-9EBD-0B18ACFA2AB0}" name="FORNECEDOR D" dataDxfId="45" dataCellStyle="Bom"/>
    <tableColumn id="23" xr3:uid="{D3BCC9B8-EAEF-4DBA-8702-689B6AD1608E}" name="FORNECEDOR E" dataDxfId="44"/>
    <tableColumn id="24" xr3:uid="{544B148A-5518-4D38-986B-C3217217733F}" name="FORNECEDOR F" dataDxfId="43"/>
    <tableColumn id="25" xr3:uid="{1EF20019-8557-490E-B450-672EE392A005}" name="FORNECEDOR G" dataDxfId="42"/>
    <tableColumn id="26" xr3:uid="{00968EAB-83B4-499D-816F-8E94D4A0EA4B}" name="OBS" dataDxfId="41"/>
    <tableColumn id="27" xr3:uid="{DE123875-A9C7-4747-944B-F88036B6160F}" name="EMPRESA NEGOCIADA" dataDxfId="40"/>
    <tableColumn id="28" xr3:uid="{EDBDB164-1340-4619-B0C7-8E63D809642B}" name="SC - Solicitação" dataDxfId="3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BAA1EC-F459-4C05-932C-6F29B20CF284}" name="Tabela3" displayName="Tabela3" ref="B4:X82" totalsRowShown="0" headerRowDxfId="38" headerRowBorderDxfId="37" tableBorderDxfId="36" totalsRowBorderDxfId="35">
  <autoFilter ref="B4:X82" xr:uid="{A3BAA1EC-F459-4C05-932C-6F29B20CF284}">
    <filterColumn colId="3">
      <filters>
        <filter val="VALVULAS CORTA CHAMAS"/>
      </filters>
    </filterColumn>
  </autoFilter>
  <sortState xmlns:xlrd2="http://schemas.microsoft.com/office/spreadsheetml/2017/richdata2" ref="B5:X82">
    <sortCondition ref="K4:K82"/>
  </sortState>
  <tableColumns count="23">
    <tableColumn id="1" xr3:uid="{ACC373C0-87FE-4962-B7A2-DEC0046E8D0D}" name="STATUS" dataDxfId="34">
      <calculatedColumnFormula>IF($X5&lt;&gt;"","Finalizado",IF($O5&lt;&gt;"","Comprador Negociando",IF($M5&gt;=TODAY(),"Aguardando Retorno Fornecedores","Prazo de Retorno Vencido")))</calculatedColumnFormula>
    </tableColumn>
    <tableColumn id="2" xr3:uid="{FE0DCC7E-F5B4-478B-8180-CBAFD63FACAE}" name="Tempo _x000a_Pendente" dataDxfId="33" dataCellStyle="Ruim">
      <calculatedColumnFormula>IF(B5="Finalizado","Ok",IF(IF(M5="",_xlfn.DAYS(TODAY(),J5),_xlfn.DAYS(TODAY(),M5))&gt;1,IF(M5="",_xlfn.DAYS(TODAY(),J5),_xlfn.DAYS(TODAY(),M5))&amp;" Dias",IF(M5="",_xlfn.DAYS(TODAY(),J5),_xlfn.DAYS(TODAY(),M5))&amp;" Dia"))</calculatedColumnFormula>
    </tableColumn>
    <tableColumn id="3" xr3:uid="{ADF2865B-57A0-45FD-84F4-5CBA83AFD4DB}" name="Seq. " dataDxfId="32"/>
    <tableColumn id="4" xr3:uid="{30F62013-039A-41C3-B56F-3EC0092D1D68}" name="PACOTES" dataDxfId="31"/>
    <tableColumn id="6" xr3:uid="{66D5D2C1-A0C6-4B35-9A43-7597860CF80F}" name="CRÍTICIDADE" dataDxfId="30" dataCellStyle="Ruim"/>
    <tableColumn id="7" xr3:uid="{C7595787-5AF3-4297-BD7D-226EF9BBF168}" name="RESPONSÁVEL" dataDxfId="29" dataCellStyle="Ruim"/>
    <tableColumn id="9" xr3:uid="{659EC0B3-9BC4-4140-AB7A-23E51F8630C3}" name="EMPRESAS PARTICIPANTES" dataDxfId="28"/>
    <tableColumn id="10" xr3:uid="{1E3AD575-0627-48C1-88AF-C6EF0B138162}" name="TOTAL" dataDxfId="27" dataCellStyle="Ruim"/>
    <tableColumn id="12" xr3:uid="{CFD57A16-E1CB-4760-B39A-C2B1ED91986A}" name="ENVIO_x000a_COMPRAS" dataDxfId="26" dataCellStyle="Ruim"/>
    <tableColumn id="16" xr3:uid="{97C73DEC-CF3D-4F33-9308-C4D9890C15CF}" name="PRAZO_x000a_RETORNO" dataDxfId="25"/>
    <tableColumn id="17" xr3:uid="{9FF8492B-27C2-4315-B987-A4E7AE34C8E8}" name="PROPOSTAS RECEBIDAS" dataDxfId="24">
      <calculatedColumnFormula>COUNTA([1]Equalizações!S2:Y2)</calculatedColumnFormula>
    </tableColumn>
    <tableColumn id="18" xr3:uid="{B130F0C2-1048-4422-A197-5C846F27BECA}" name="ENVIO_x000a_EQUALIZAÇÃO" dataDxfId="23"/>
    <tableColumn id="19" xr3:uid="{88D2BA64-C68F-4341-B8E9-F91A53B880C0}" name="FORNECEDOR A" dataDxfId="22"/>
    <tableColumn id="20" xr3:uid="{B9CCAF5D-D31B-41AA-BEA0-80F56C0C6BD6}" name="FORNECEDOR B" dataDxfId="21"/>
    <tableColumn id="21" xr3:uid="{211F3B7D-FBD3-4882-B6C0-61EBEF664AF8}" name="FORNECEDOR C" dataDxfId="20"/>
    <tableColumn id="22" xr3:uid="{4F3802E0-3567-4BF7-A930-8BF3835C31E1}" name="FORNECEDOR D" dataDxfId="19"/>
    <tableColumn id="23" xr3:uid="{C5CE711F-1090-499B-BB50-B54222C91894}" name="FORNECEDOR E" dataDxfId="18"/>
    <tableColumn id="24" xr3:uid="{CB52CF48-E332-4A23-9957-B9A558DF8420}" name="FORNECEDOR F" dataDxfId="17"/>
    <tableColumn id="25" xr3:uid="{F0023852-947F-406A-A2FA-050635CC4878}" name="FORNECEDOR G" dataDxfId="16"/>
    <tableColumn id="26" xr3:uid="{E26D790F-0A4A-4985-8CD9-E392E8EFF5FE}" name="OBSERVAÇÕES4" dataDxfId="15"/>
    <tableColumn id="27" xr3:uid="{CB86AAD2-9D52-49E8-BDDA-8CB8393E3903}" name="EMPRESA_x000a_NEGOCIADA" dataDxfId="14"/>
    <tableColumn id="28" xr3:uid="{D2C476A7-8DD6-471C-BCDE-D7258DC267B8}" name="SC" dataDxfId="13"/>
    <tableColumn id="29" xr3:uid="{ED7C8217-69DB-4002-995A-1DC7DDF8C8E3}" name="INCLUSO NA_x000a_PLANILHA?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53FD943-412F-4FE4-B33D-E2FB8DA70C60}" name="Tabela35" displayName="Tabela35" ref="B3:B31" totalsRowShown="0">
  <autoFilter ref="B3:B31" xr:uid="{A53FD943-412F-4FE4-B33D-E2FB8DA70C60}"/>
  <sortState xmlns:xlrd2="http://schemas.microsoft.com/office/spreadsheetml/2017/richdata2" ref="B4:B31">
    <sortCondition ref="B3:B31"/>
  </sortState>
  <tableColumns count="1">
    <tableColumn id="1" xr3:uid="{E4B020B5-FBD2-4733-A054-1DCB212427B6}" name="PLANTA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FDEF843-3223-44AF-B762-FDDC70F14AFF}" name="Tabela26" displayName="Tabela26" ref="D4:D12" totalsRowShown="0">
  <autoFilter ref="D4:D12" xr:uid="{A4D4554C-1C07-4D1F-8787-E059C06B3C6D}"/>
  <sortState xmlns:xlrd2="http://schemas.microsoft.com/office/spreadsheetml/2017/richdata2" ref="B4:B9">
    <sortCondition ref="B3:B9"/>
  </sortState>
  <tableColumns count="1">
    <tableColumn id="1" xr3:uid="{A252B32D-CBFD-467A-84FE-6CBC3E477A9C}" name="Responsável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table" Target="../tables/table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C2F2F-23D4-443A-8543-674262A99947}">
  <sheetPr codeName="Planilha2">
    <tabColor rgb="FF00863D"/>
    <pageSetUpPr fitToPage="1"/>
  </sheetPr>
  <dimension ref="A1:BH90"/>
  <sheetViews>
    <sheetView showGridLines="0" tabSelected="1" topLeftCell="R1" zoomScale="85" zoomScaleNormal="85" workbookViewId="0">
      <selection activeCell="S2" sqref="S2:S5"/>
    </sheetView>
  </sheetViews>
  <sheetFormatPr defaultColWidth="9.28515625" defaultRowHeight="15" x14ac:dyDescent="0.25"/>
  <cols>
    <col min="1" max="1" width="22.28515625" style="13" customWidth="1"/>
    <col min="2" max="2" width="15.28515625" style="1" customWidth="1"/>
    <col min="3" max="3" width="22.42578125" style="1" customWidth="1"/>
    <col min="4" max="4" width="11.28515625" style="1" customWidth="1"/>
    <col min="5" max="5" width="22.28515625" style="1" customWidth="1"/>
    <col min="6" max="6" width="18.28515625" style="5" customWidth="1"/>
    <col min="7" max="7" width="78.140625" style="1" customWidth="1"/>
    <col min="8" max="9" width="27.42578125" style="1" customWidth="1"/>
    <col min="10" max="10" width="23.85546875" style="1" customWidth="1"/>
    <col min="11" max="11" width="24" style="1" customWidth="1"/>
    <col min="12" max="12" width="25.7109375" style="1" customWidth="1"/>
    <col min="13" max="13" width="23.28515625" style="1" customWidth="1"/>
    <col min="14" max="14" width="25.140625" style="1" customWidth="1"/>
    <col min="15" max="15" width="22.7109375" style="1" customWidth="1"/>
    <col min="16" max="16" width="20.28515625" style="1" customWidth="1"/>
    <col min="17" max="17" width="20.7109375" style="1" customWidth="1"/>
    <col min="18" max="18" width="21.140625" style="1" customWidth="1"/>
    <col min="19" max="19" width="29.7109375" style="1" customWidth="1"/>
    <col min="20" max="20" width="26.85546875" style="1" customWidth="1"/>
    <col min="21" max="21" width="22.42578125" style="1" customWidth="1"/>
    <col min="22" max="22" width="27.28515625" style="1" customWidth="1"/>
    <col min="23" max="24" width="22.42578125" style="1" customWidth="1"/>
    <col min="25" max="27" width="19.28515625" style="1" customWidth="1"/>
    <col min="28" max="28" width="29" style="1" customWidth="1"/>
    <col min="29" max="29" width="27.5703125" style="1" customWidth="1"/>
    <col min="30" max="30" width="23" style="1" customWidth="1"/>
    <col min="31" max="31" width="23.28515625" style="1" customWidth="1"/>
    <col min="32" max="16384" width="9.28515625" style="1"/>
  </cols>
  <sheetData>
    <row r="1" spans="1:31" ht="34.15" customHeight="1" x14ac:dyDescent="0.25">
      <c r="A1" s="77" t="s">
        <v>0</v>
      </c>
      <c r="B1" s="79" t="s">
        <v>577</v>
      </c>
      <c r="C1" s="79" t="s">
        <v>2</v>
      </c>
      <c r="D1" s="78" t="s">
        <v>3</v>
      </c>
      <c r="E1" s="93" t="s">
        <v>4</v>
      </c>
      <c r="F1" s="78" t="s">
        <v>5</v>
      </c>
      <c r="G1" s="78" t="s">
        <v>6</v>
      </c>
      <c r="H1" s="78" t="s">
        <v>7</v>
      </c>
      <c r="I1" s="78" t="s">
        <v>8</v>
      </c>
      <c r="J1" s="78" t="s">
        <v>9</v>
      </c>
      <c r="K1" s="78" t="s">
        <v>10</v>
      </c>
      <c r="L1" s="78" t="s">
        <v>11</v>
      </c>
      <c r="M1" s="78" t="s">
        <v>12</v>
      </c>
      <c r="N1" s="93" t="s">
        <v>13</v>
      </c>
      <c r="O1" s="93" t="s">
        <v>14</v>
      </c>
      <c r="P1" s="78" t="s">
        <v>15</v>
      </c>
      <c r="Q1" s="78" t="s">
        <v>16</v>
      </c>
      <c r="R1" s="78" t="s">
        <v>17</v>
      </c>
      <c r="S1" s="78" t="s">
        <v>18</v>
      </c>
      <c r="T1" s="78" t="s">
        <v>19</v>
      </c>
      <c r="U1" s="79" t="s">
        <v>20</v>
      </c>
      <c r="V1" s="78" t="s">
        <v>21</v>
      </c>
      <c r="W1" s="78" t="s">
        <v>22</v>
      </c>
      <c r="X1" s="78" t="s">
        <v>23</v>
      </c>
      <c r="Y1" s="78" t="s">
        <v>24</v>
      </c>
      <c r="Z1" s="78" t="s">
        <v>25</v>
      </c>
      <c r="AA1" s="78" t="s">
        <v>26</v>
      </c>
      <c r="AB1" s="78" t="s">
        <v>27</v>
      </c>
      <c r="AC1" s="78" t="s">
        <v>28</v>
      </c>
      <c r="AD1" s="78" t="s">
        <v>29</v>
      </c>
      <c r="AE1" s="78" t="s">
        <v>30</v>
      </c>
    </row>
    <row r="2" spans="1:31" ht="30.6" customHeight="1" x14ac:dyDescent="0.25">
      <c r="A2" s="80" t="str">
        <f>IF(Tabela2[[#This Row],[DATA DO PEDIDO]]&lt;&gt;"",
   "Finalizado",
   IF(Tabela2[[#This Row],[DATA ENVIO COMPRAS]]="",
      "Aguardando Coordenador",
      IF(Tabela2[[#This Row],[EQUALIZAÇÃO]]="",
         "Aguardando Fornecedores",
         "Aguardando Pedido"
      )
   )
)</f>
        <v>Aguardando Fornecedores</v>
      </c>
      <c r="B2" s="81" t="str">
        <f ca="1">IF(Tabela2[[#This Row],[DATA DO PEDIDO]]&lt;&gt;"","Finalizado",IF(Tabela2[[#This Row],[DATA ENVIO COMPRAS]]="","",_xlfn.DAYS(TODAY(),Tabela2[[#This Row],[DATA ENVIO COMPRAS]])&amp;IF(_xlfn.DAYS(TODAY(),Tabela2[[#This Row],[DATA ENVIO COMPRAS]])&gt;1," Dias"," Dia")))</f>
        <v>11 Dias</v>
      </c>
      <c r="C2" s="90" t="str">
        <f>IF(Tabela2[[#This Row],[DATA DO PEDIDO]]&lt;&gt;"",Tabela2[[#This Row],[DATA DO PEDIDO]]-Tabela2[[#This Row],[DATA ENVIO COMPRAS]],"")</f>
        <v/>
      </c>
      <c r="D2" s="83">
        <f t="shared" ref="D2:D8" si="0">IF(D1="Seq.",1,D1+1)</f>
        <v>1</v>
      </c>
      <c r="E2" s="85">
        <v>46151</v>
      </c>
      <c r="F2" s="118" t="s">
        <v>31</v>
      </c>
      <c r="G2" s="88" t="s">
        <v>578</v>
      </c>
      <c r="H2" s="83" t="s">
        <v>32</v>
      </c>
      <c r="I2" s="83" t="s">
        <v>33</v>
      </c>
      <c r="J2" s="83" t="s">
        <v>34</v>
      </c>
      <c r="K2" s="87" t="s">
        <v>35</v>
      </c>
      <c r="L2" s="89" t="s">
        <v>36</v>
      </c>
      <c r="M2" s="105">
        <f t="shared" ref="M2:M8" si="1">IF(E2="","",WORKDAY(E2,22))</f>
        <v>46182</v>
      </c>
      <c r="N2" s="86"/>
      <c r="O2" s="86"/>
      <c r="P2" s="86" t="s">
        <v>37</v>
      </c>
      <c r="Q2" s="122"/>
      <c r="R2" s="91"/>
      <c r="S2" s="108"/>
      <c r="T2" s="92"/>
      <c r="U2" s="83">
        <f>COUNTA(Tabela2[[#This Row],[FORNECEDOR A]:[FORNECEDOR G]])</f>
        <v>0</v>
      </c>
      <c r="V2" s="84"/>
      <c r="W2" s="84"/>
      <c r="X2" s="84"/>
      <c r="Y2" s="84"/>
      <c r="Z2" s="82"/>
      <c r="AA2" s="82"/>
      <c r="AB2" s="82"/>
      <c r="AC2" s="82"/>
      <c r="AD2" s="82"/>
      <c r="AE2" s="83"/>
    </row>
    <row r="3" spans="1:31" ht="33" customHeight="1" x14ac:dyDescent="0.25">
      <c r="A3" s="109" t="str">
        <f>IF(Tabela2[[#This Row],[DATA DO PEDIDO]]&lt;&gt;"",
   "Finalizado",
   IF(Tabela2[[#This Row],[DATA ENVIO COMPRAS]]="",
      "Aguardando Coordenador",
      IF(Tabela2[[#This Row],[EQUALIZAÇÃO]]="",
         "Aguardando Fornecedores",
         "Aguardando Pedido"
      )
   )
)</f>
        <v>Aguardando Pedido</v>
      </c>
      <c r="B3" s="110" t="str">
        <f ca="1">IF(Tabela2[[#This Row],[DATA DO PEDIDO]]&lt;&gt;"","Finalizado",IF(Tabela2[[#This Row],[DATA ENVIO COMPRAS]]="","",_xlfn.DAYS(TODAY(),Tabela2[[#This Row],[DATA ENVIO COMPRAS]])&amp;IF(_xlfn.DAYS(TODAY(),Tabela2[[#This Row],[DATA ENVIO COMPRAS]])&gt;1," Dias"," Dia")))</f>
        <v>22 Dias</v>
      </c>
      <c r="C3" s="117" t="str">
        <f>IF(Tabela2[[#This Row],[DATA DO PEDIDO]]&lt;&gt;"",Tabela2[[#This Row],[DATA DO PEDIDO]]-Tabela2[[#This Row],[DATA ENVIO COMPRAS]],"")</f>
        <v/>
      </c>
      <c r="D3" s="110">
        <f t="shared" si="0"/>
        <v>2</v>
      </c>
      <c r="E3" s="111">
        <v>46140</v>
      </c>
      <c r="F3" s="119" t="s">
        <v>38</v>
      </c>
      <c r="G3" s="113" t="s">
        <v>579</v>
      </c>
      <c r="H3" s="106" t="s">
        <v>39</v>
      </c>
      <c r="I3" s="106" t="s">
        <v>33</v>
      </c>
      <c r="J3" s="83" t="s">
        <v>34</v>
      </c>
      <c r="K3" s="87" t="s">
        <v>35</v>
      </c>
      <c r="L3" s="89" t="s">
        <v>36</v>
      </c>
      <c r="M3" s="115">
        <f t="shared" si="1"/>
        <v>46170</v>
      </c>
      <c r="N3" s="116">
        <v>46155</v>
      </c>
      <c r="O3" s="116" t="s">
        <v>40</v>
      </c>
      <c r="P3" s="106" t="s">
        <v>37</v>
      </c>
      <c r="Q3" s="122"/>
      <c r="R3" s="107"/>
      <c r="S3" s="108"/>
      <c r="T3" s="107"/>
      <c r="U3" s="106">
        <f>COUNTA(Tabela2[[#This Row],[FORNECEDOR A]:[FORNECEDOR G]])</f>
        <v>0</v>
      </c>
      <c r="V3" s="114"/>
      <c r="W3" s="114"/>
      <c r="X3" s="114"/>
      <c r="Y3" s="114"/>
      <c r="Z3" s="112"/>
      <c r="AA3" s="112"/>
      <c r="AB3" s="112"/>
      <c r="AC3" s="112"/>
      <c r="AD3" s="112" t="s">
        <v>41</v>
      </c>
      <c r="AE3" s="120">
        <v>628388</v>
      </c>
    </row>
    <row r="4" spans="1:31" ht="33" customHeight="1" x14ac:dyDescent="0.25">
      <c r="A4" s="109" t="str">
        <f>IF(Tabela2[[#This Row],[DATA DO PEDIDO]]&lt;&gt;"",
   "Finalizado",
   IF(Tabela2[[#This Row],[DATA ENVIO COMPRAS]]="",
      "Aguardando Coordenador",
      IF(Tabela2[[#This Row],[EQUALIZAÇÃO]]="",
         "Aguardando Fornecedores",
         "Aguardando Pedido"
      )
   )
)</f>
        <v>Aguardando Coordenador</v>
      </c>
      <c r="B4" s="110" t="str">
        <f ca="1">IF(Tabela2[[#This Row],[DATA DO PEDIDO]]&lt;&gt;"","Finalizado",IF(Tabela2[[#This Row],[DATA ENVIO COMPRAS]]="","",_xlfn.DAYS(TODAY(),Tabela2[[#This Row],[DATA ENVIO COMPRAS]])&amp;IF(_xlfn.DAYS(TODAY(),Tabela2[[#This Row],[DATA ENVIO COMPRAS]])&gt;1," Dias"," Dia")))</f>
        <v/>
      </c>
      <c r="C4" s="117" t="str">
        <f>IF(Tabela2[[#This Row],[DATA DO PEDIDO]]&lt;&gt;"",Tabela2[[#This Row],[DATA DO PEDIDO]]-Tabela2[[#This Row],[DATA ENVIO COMPRAS]],"")</f>
        <v/>
      </c>
      <c r="D4" s="110">
        <f t="shared" si="0"/>
        <v>3</v>
      </c>
      <c r="E4" s="111"/>
      <c r="F4" s="119" t="s">
        <v>42</v>
      </c>
      <c r="G4" s="113" t="s">
        <v>580</v>
      </c>
      <c r="H4" s="106" t="s">
        <v>39</v>
      </c>
      <c r="I4" s="106" t="s">
        <v>33</v>
      </c>
      <c r="J4" s="83" t="s">
        <v>34</v>
      </c>
      <c r="K4" s="87" t="s">
        <v>35</v>
      </c>
      <c r="L4" s="89" t="s">
        <v>36</v>
      </c>
      <c r="M4" s="115" t="str">
        <f t="shared" si="1"/>
        <v/>
      </c>
      <c r="N4" s="116"/>
      <c r="O4" s="116"/>
      <c r="P4" s="106" t="s">
        <v>43</v>
      </c>
      <c r="Q4" s="122"/>
      <c r="R4" s="107"/>
      <c r="S4" s="108"/>
      <c r="T4" s="107"/>
      <c r="U4" s="106">
        <f>COUNTA(Tabela2[[#This Row],[FORNECEDOR A]:[FORNECEDOR G]])</f>
        <v>0</v>
      </c>
      <c r="V4" s="114"/>
      <c r="W4" s="114"/>
      <c r="X4" s="114"/>
      <c r="Y4" s="114"/>
      <c r="Z4" s="112"/>
      <c r="AA4" s="112"/>
      <c r="AB4" s="112"/>
      <c r="AC4" s="112"/>
      <c r="AD4" s="112"/>
      <c r="AE4" s="106"/>
    </row>
    <row r="5" spans="1:31" ht="29.45" customHeight="1" x14ac:dyDescent="0.25">
      <c r="A5" s="109" t="str">
        <f>IF(Tabela2[[#This Row],[DATA DO PEDIDO]]&lt;&gt;"",
   "Finalizado",
   IF(Tabela2[[#This Row],[DATA ENVIO COMPRAS]]="",
      "Aguardando Coordenador",
      IF(Tabela2[[#This Row],[EQUALIZAÇÃO]]="",
         "Aguardando Fornecedores",
         "Aguardando Pedido"
      )
   )
)</f>
        <v>Aguardando Fornecedores</v>
      </c>
      <c r="B5" s="110" t="str">
        <f ca="1">IF(Tabela2[[#This Row],[DATA DO PEDIDO]]&lt;&gt;"","Finalizado",IF(Tabela2[[#This Row],[DATA ENVIO COMPRAS]]="","",_xlfn.DAYS(TODAY(),Tabela2[[#This Row],[DATA ENVIO COMPRAS]])&amp;IF(_xlfn.DAYS(TODAY(),Tabela2[[#This Row],[DATA ENVIO COMPRAS]])&gt;1," Dias"," Dia")))</f>
        <v>22 Dias</v>
      </c>
      <c r="C5" s="117" t="str">
        <f>IF(Tabela2[[#This Row],[DATA DO PEDIDO]]&lt;&gt;"",Tabela2[[#This Row],[DATA DO PEDIDO]]-Tabela2[[#This Row],[DATA ENVIO COMPRAS]],"")</f>
        <v/>
      </c>
      <c r="D5" s="110">
        <f t="shared" si="0"/>
        <v>4</v>
      </c>
      <c r="E5" s="111">
        <v>46140</v>
      </c>
      <c r="F5" s="119" t="s">
        <v>44</v>
      </c>
      <c r="G5" s="113" t="s">
        <v>581</v>
      </c>
      <c r="H5" s="106" t="s">
        <v>45</v>
      </c>
      <c r="I5" s="106" t="s">
        <v>33</v>
      </c>
      <c r="J5" s="83" t="s">
        <v>34</v>
      </c>
      <c r="K5" s="87" t="s">
        <v>35</v>
      </c>
      <c r="L5" s="89" t="s">
        <v>36</v>
      </c>
      <c r="M5" s="115">
        <f t="shared" si="1"/>
        <v>46170</v>
      </c>
      <c r="N5" s="116"/>
      <c r="O5" s="116"/>
      <c r="P5" s="106" t="s">
        <v>37</v>
      </c>
      <c r="Q5" s="122"/>
      <c r="R5" s="107"/>
      <c r="S5" s="108"/>
      <c r="T5" s="107"/>
      <c r="U5" s="106">
        <f>COUNTA(Tabela2[[#This Row],[FORNECEDOR A]:[FORNECEDOR G]])</f>
        <v>0</v>
      </c>
      <c r="V5" s="114"/>
      <c r="W5" s="114"/>
      <c r="X5" s="114"/>
      <c r="Y5" s="114"/>
      <c r="Z5" s="112"/>
      <c r="AA5" s="112"/>
      <c r="AB5" s="112"/>
      <c r="AC5" s="112"/>
      <c r="AD5" s="112"/>
      <c r="AE5" s="106"/>
    </row>
    <row r="6" spans="1:31" ht="29.45" customHeight="1" x14ac:dyDescent="0.25">
      <c r="A6" s="109" t="str">
        <f>IF(Tabela2[[#This Row],[DATA DO PEDIDO]]&lt;&gt;"",
   "Finalizado",
   IF(Tabela2[[#This Row],[DATA ENVIO COMPRAS]]="",
      "Aguardando Coordenador",
      IF(Tabela2[[#This Row],[EQUALIZAÇÃO]]="",
         "Aguardando Fornecedores",
         "Aguardando Pedido"
      )
   )
)</f>
        <v>Aguardando Fornecedores</v>
      </c>
      <c r="B6" s="110" t="str">
        <f ca="1">IF(Tabela2[[#This Row],[DATA DO PEDIDO]]&lt;&gt;"","Finalizado",IF(Tabela2[[#This Row],[DATA ENVIO COMPRAS]]="","",_xlfn.DAYS(TODAY(),Tabela2[[#This Row],[DATA ENVIO COMPRAS]])&amp;IF(_xlfn.DAYS(TODAY(),Tabela2[[#This Row],[DATA ENVIO COMPRAS]])&gt;1," Dias"," Dia")))</f>
        <v>22 Dias</v>
      </c>
      <c r="C6" s="117" t="str">
        <f>IF(Tabela2[[#This Row],[DATA DO PEDIDO]]&lt;&gt;"",Tabela2[[#This Row],[DATA DO PEDIDO]]-Tabela2[[#This Row],[DATA ENVIO COMPRAS]],"")</f>
        <v/>
      </c>
      <c r="D6" s="110">
        <f t="shared" si="0"/>
        <v>5</v>
      </c>
      <c r="E6" s="111">
        <v>46140</v>
      </c>
      <c r="F6" s="119" t="s">
        <v>46</v>
      </c>
      <c r="G6" s="113" t="s">
        <v>582</v>
      </c>
      <c r="H6" s="106" t="s">
        <v>47</v>
      </c>
      <c r="I6" s="106" t="s">
        <v>33</v>
      </c>
      <c r="J6" s="83" t="s">
        <v>34</v>
      </c>
      <c r="K6" s="87" t="s">
        <v>35</v>
      </c>
      <c r="L6" s="89" t="s">
        <v>36</v>
      </c>
      <c r="M6" s="115">
        <f t="shared" si="1"/>
        <v>46170</v>
      </c>
      <c r="N6" s="116"/>
      <c r="O6" s="116"/>
      <c r="P6" s="106" t="s">
        <v>37</v>
      </c>
      <c r="Q6" s="122"/>
      <c r="R6" s="107"/>
      <c r="S6" s="108"/>
      <c r="T6" s="107"/>
      <c r="U6" s="106">
        <f>COUNTA(Tabela2[[#This Row],[FORNECEDOR A]:[FORNECEDOR G]])</f>
        <v>0</v>
      </c>
      <c r="V6" s="114"/>
      <c r="W6" s="114"/>
      <c r="X6" s="114"/>
      <c r="Y6" s="114"/>
      <c r="Z6" s="112"/>
      <c r="AA6" s="112"/>
      <c r="AB6" s="112"/>
      <c r="AC6" s="112"/>
      <c r="AD6" s="112"/>
      <c r="AE6" s="106"/>
    </row>
    <row r="7" spans="1:31" ht="30" customHeight="1" x14ac:dyDescent="0.25">
      <c r="A7" s="109" t="str">
        <f>IF(Tabela2[[#This Row],[DATA DO PEDIDO]]&lt;&gt;"",
   "Finalizado",
   IF(Tabela2[[#This Row],[DATA ENVIO COMPRAS]]="",
      "Aguardando Coordenador",
      IF(Tabela2[[#This Row],[EQUALIZAÇÃO]]="",
         "Aguardando Fornecedores",
         "Aguardando Pedido"
      )
   )
)</f>
        <v>Aguardando Fornecedores</v>
      </c>
      <c r="B7" s="110" t="str">
        <f ca="1">IF(Tabela2[[#This Row],[DATA DO PEDIDO]]&lt;&gt;"","Finalizado",IF(Tabela2[[#This Row],[DATA ENVIO COMPRAS]]="","",_xlfn.DAYS(TODAY(),Tabela2[[#This Row],[DATA ENVIO COMPRAS]])&amp;IF(_xlfn.DAYS(TODAY(),Tabela2[[#This Row],[DATA ENVIO COMPRAS]])&gt;1," Dias"," Dia")))</f>
        <v>22 Dias</v>
      </c>
      <c r="C7" s="117" t="str">
        <f>IF(Tabela2[[#This Row],[DATA DO PEDIDO]]&lt;&gt;"",Tabela2[[#This Row],[DATA DO PEDIDO]]-Tabela2[[#This Row],[DATA ENVIO COMPRAS]],"")</f>
        <v/>
      </c>
      <c r="D7" s="110">
        <f t="shared" si="0"/>
        <v>6</v>
      </c>
      <c r="E7" s="111">
        <v>46140</v>
      </c>
      <c r="F7" s="119" t="s">
        <v>48</v>
      </c>
      <c r="G7" s="113" t="s">
        <v>583</v>
      </c>
      <c r="H7" s="106" t="s">
        <v>47</v>
      </c>
      <c r="I7" s="106" t="s">
        <v>33</v>
      </c>
      <c r="J7" s="83" t="s">
        <v>34</v>
      </c>
      <c r="K7" s="87" t="s">
        <v>35</v>
      </c>
      <c r="L7" s="89" t="s">
        <v>36</v>
      </c>
      <c r="M7" s="115">
        <f t="shared" si="1"/>
        <v>46170</v>
      </c>
      <c r="N7" s="116"/>
      <c r="O7" s="116"/>
      <c r="P7" s="106" t="s">
        <v>37</v>
      </c>
      <c r="R7" s="107"/>
      <c r="S7" s="108"/>
      <c r="T7" s="107"/>
      <c r="U7" s="106">
        <f>COUNTA(Tabela2[[#This Row],[FORNECEDOR A]:[FORNECEDOR G]])</f>
        <v>0</v>
      </c>
      <c r="V7" s="114"/>
      <c r="W7" s="114"/>
      <c r="X7" s="114"/>
      <c r="Y7" s="114"/>
      <c r="Z7" s="112"/>
      <c r="AA7" s="112"/>
      <c r="AB7" s="112"/>
      <c r="AC7" s="112"/>
      <c r="AD7" s="112"/>
      <c r="AE7" s="106"/>
    </row>
    <row r="8" spans="1:31" ht="27.6" customHeight="1" x14ac:dyDescent="0.25">
      <c r="A8" s="109" t="str">
        <f>IF(Tabela2[[#This Row],[DATA DO PEDIDO]]&lt;&gt;"",
   "Finalizado",
   IF(Tabela2[[#This Row],[DATA ENVIO COMPRAS]]="",
      "Aguardando Coordenador",
      IF(Tabela2[[#This Row],[EQUALIZAÇÃO]]="",
         "Aguardando Fornecedores",
         "Aguardando Pedido"
      )
   )
)</f>
        <v>Aguardando Fornecedores</v>
      </c>
      <c r="B8" s="110" t="str">
        <f ca="1">IF(Tabela2[[#This Row],[DATA DO PEDIDO]]&lt;&gt;"","Finalizado",IF(Tabela2[[#This Row],[DATA ENVIO COMPRAS]]="","",_xlfn.DAYS(TODAY(),Tabela2[[#This Row],[DATA ENVIO COMPRAS]])&amp;IF(_xlfn.DAYS(TODAY(),Tabela2[[#This Row],[DATA ENVIO COMPRAS]])&gt;1," Dias"," Dia")))</f>
        <v>16 Dias</v>
      </c>
      <c r="C8" s="117" t="str">
        <f>IF(Tabela2[[#This Row],[DATA DO PEDIDO]]&lt;&gt;"",Tabela2[[#This Row],[DATA DO PEDIDO]]-Tabela2[[#This Row],[DATA ENVIO COMPRAS]],"")</f>
        <v/>
      </c>
      <c r="D8" s="110">
        <f t="shared" si="0"/>
        <v>7</v>
      </c>
      <c r="E8" s="111">
        <v>46146</v>
      </c>
      <c r="F8" s="119" t="s">
        <v>49</v>
      </c>
      <c r="G8" s="113" t="s">
        <v>584</v>
      </c>
      <c r="H8" s="106" t="s">
        <v>47</v>
      </c>
      <c r="I8" s="106" t="s">
        <v>33</v>
      </c>
      <c r="J8" s="83" t="s">
        <v>34</v>
      </c>
      <c r="K8" s="87" t="s">
        <v>35</v>
      </c>
      <c r="L8" s="89" t="s">
        <v>36</v>
      </c>
      <c r="M8" s="115">
        <f t="shared" si="1"/>
        <v>46176</v>
      </c>
      <c r="N8" s="116"/>
      <c r="O8" s="116"/>
      <c r="P8" s="106" t="s">
        <v>37</v>
      </c>
      <c r="R8" s="107"/>
      <c r="S8" s="108"/>
      <c r="T8" s="107"/>
      <c r="U8" s="106">
        <f>COUNTA(Tabela2[[#This Row],[FORNECEDOR A]:[FORNECEDOR G]])</f>
        <v>0</v>
      </c>
      <c r="V8" s="114"/>
      <c r="W8" s="114"/>
      <c r="X8" s="114"/>
      <c r="Y8" s="114"/>
      <c r="Z8" s="112"/>
      <c r="AA8" s="112"/>
      <c r="AB8" s="112"/>
      <c r="AC8" s="112"/>
      <c r="AD8" s="112"/>
      <c r="AE8" s="106"/>
    </row>
    <row r="9" spans="1:31" ht="22.15" customHeight="1" x14ac:dyDescent="0.25">
      <c r="G9" s="121"/>
    </row>
    <row r="10" spans="1:31" ht="22.15" customHeight="1" x14ac:dyDescent="0.25"/>
    <row r="11" spans="1:31" ht="22.15" customHeight="1" x14ac:dyDescent="0.25"/>
    <row r="12" spans="1:31" ht="22.15" customHeight="1" x14ac:dyDescent="0.25"/>
    <row r="13" spans="1:31" ht="27" customHeight="1" x14ac:dyDescent="0.25"/>
    <row r="14" spans="1:31" ht="36.6" customHeight="1" x14ac:dyDescent="0.25"/>
    <row r="15" spans="1:31" ht="42.6" customHeight="1" x14ac:dyDescent="0.25"/>
    <row r="16" spans="1:31" ht="38.450000000000003" customHeight="1" x14ac:dyDescent="0.25"/>
    <row r="17" ht="35.450000000000003" customHeight="1" x14ac:dyDescent="0.25"/>
    <row r="18" ht="26.45" customHeight="1" x14ac:dyDescent="0.25"/>
    <row r="19" ht="27.6" customHeight="1" x14ac:dyDescent="0.25"/>
    <row r="20" ht="22.15" customHeight="1" x14ac:dyDescent="0.25"/>
    <row r="21" ht="22.15" customHeight="1" x14ac:dyDescent="0.25"/>
    <row r="22" ht="25.15" customHeight="1" x14ac:dyDescent="0.25"/>
    <row r="23" ht="26.45" customHeight="1" x14ac:dyDescent="0.25"/>
    <row r="24" ht="27.6" customHeight="1" x14ac:dyDescent="0.25"/>
    <row r="25" ht="22.15" customHeight="1" x14ac:dyDescent="0.25"/>
    <row r="26" ht="33" customHeight="1" x14ac:dyDescent="0.25"/>
    <row r="28" ht="19.899999999999999" customHeight="1" x14ac:dyDescent="0.25"/>
    <row r="30" ht="22.9" customHeight="1" x14ac:dyDescent="0.25"/>
    <row r="31" ht="30.6" customHeight="1" x14ac:dyDescent="0.25"/>
    <row r="32" ht="24" customHeight="1" x14ac:dyDescent="0.25"/>
    <row r="33" spans="31:32" ht="27" customHeight="1" x14ac:dyDescent="0.25">
      <c r="AE33" s="104"/>
      <c r="AF33" s="94"/>
    </row>
    <row r="34" spans="31:32" ht="36" customHeight="1" x14ac:dyDescent="0.25">
      <c r="AE34" s="104"/>
      <c r="AF34" s="94"/>
    </row>
    <row r="35" spans="31:32" ht="48" customHeight="1" x14ac:dyDescent="0.25">
      <c r="AE35" s="104"/>
      <c r="AF35" s="94"/>
    </row>
    <row r="36" spans="31:32" ht="30.6" customHeight="1" x14ac:dyDescent="0.25"/>
    <row r="37" spans="31:32" ht="30.6" customHeight="1" x14ac:dyDescent="0.25"/>
    <row r="38" spans="31:32" ht="40.9" customHeight="1" x14ac:dyDescent="0.25"/>
    <row r="39" spans="31:32" ht="40.15" customHeight="1" x14ac:dyDescent="0.25"/>
    <row r="41" spans="31:32" ht="28.9" customHeight="1" x14ac:dyDescent="0.25"/>
    <row r="42" spans="31:32" ht="59.45" customHeight="1" x14ac:dyDescent="0.25"/>
    <row r="43" spans="31:32" ht="28.15" customHeight="1" x14ac:dyDescent="0.25"/>
    <row r="44" spans="31:32" ht="37.15" customHeight="1" x14ac:dyDescent="0.25"/>
    <row r="45" spans="31:32" ht="29.45" customHeight="1" x14ac:dyDescent="0.25"/>
    <row r="47" spans="31:32" ht="18.600000000000001" customHeight="1" x14ac:dyDescent="0.25"/>
    <row r="48" spans="31:32" ht="26.45" customHeight="1" x14ac:dyDescent="0.25"/>
    <row r="51" ht="31.9" customHeight="1" x14ac:dyDescent="0.25"/>
    <row r="54" ht="22.15" customHeight="1" x14ac:dyDescent="0.25"/>
    <row r="55" ht="24" customHeight="1" x14ac:dyDescent="0.25"/>
    <row r="58" ht="53.45" customHeight="1" x14ac:dyDescent="0.25"/>
    <row r="59" ht="40.9" customHeight="1" x14ac:dyDescent="0.25"/>
    <row r="61" ht="28.9" customHeight="1" x14ac:dyDescent="0.25"/>
    <row r="62" ht="21.6" customHeight="1" x14ac:dyDescent="0.25"/>
    <row r="63" ht="24" customHeight="1" x14ac:dyDescent="0.25"/>
    <row r="64" ht="31.9" customHeight="1" x14ac:dyDescent="0.25"/>
    <row r="65" spans="31:60" ht="34.9" customHeight="1" x14ac:dyDescent="0.25"/>
    <row r="67" spans="31:60" x14ac:dyDescent="0.25">
      <c r="AE67" s="95"/>
      <c r="AF67" s="5"/>
      <c r="AG67" s="96"/>
      <c r="AH67" s="96"/>
      <c r="AI67" s="96"/>
      <c r="AJ67" s="97"/>
      <c r="AK67" s="98"/>
      <c r="AL67" s="99"/>
      <c r="AM67" s="95"/>
      <c r="AN67" s="100"/>
      <c r="AO67" s="101"/>
      <c r="AP67" s="96"/>
      <c r="AQ67" s="102"/>
      <c r="AR67" s="103"/>
      <c r="AS67" s="95"/>
      <c r="AW67" s="95"/>
      <c r="AX67" s="95"/>
      <c r="AY67" s="95"/>
      <c r="BA67" s="95"/>
      <c r="BB67" s="95"/>
      <c r="BD67" s="95"/>
      <c r="BE67" s="95"/>
      <c r="BG67" s="95"/>
      <c r="BH67" s="95"/>
    </row>
    <row r="68" spans="31:60" x14ac:dyDescent="0.25">
      <c r="AE68" s="95"/>
      <c r="AF68" s="5"/>
      <c r="AG68" s="96"/>
      <c r="AH68" s="96"/>
      <c r="AI68" s="96"/>
      <c r="AJ68" s="97"/>
      <c r="AK68" s="98"/>
      <c r="AL68" s="99"/>
      <c r="AM68" s="95"/>
      <c r="AN68" s="100"/>
      <c r="AO68" s="101"/>
      <c r="AP68" s="96"/>
      <c r="AQ68" s="102"/>
      <c r="AR68" s="103"/>
      <c r="AS68" s="95"/>
      <c r="AW68" s="95"/>
      <c r="AX68" s="95"/>
      <c r="AY68" s="95"/>
      <c r="BA68" s="95"/>
      <c r="BB68" s="95"/>
      <c r="BD68" s="95"/>
      <c r="BE68" s="95"/>
      <c r="BG68" s="95"/>
      <c r="BH68" s="95"/>
    </row>
    <row r="69" spans="31:60" ht="31.15" customHeight="1" x14ac:dyDescent="0.25">
      <c r="AE69" s="95"/>
      <c r="AF69" s="5"/>
      <c r="AG69" s="96"/>
      <c r="AH69" s="96"/>
      <c r="AI69" s="96"/>
      <c r="AJ69" s="97"/>
      <c r="AK69" s="98"/>
      <c r="AL69" s="99"/>
      <c r="AM69" s="95"/>
      <c r="AN69" s="100"/>
      <c r="AO69" s="101"/>
      <c r="AP69" s="96"/>
      <c r="AQ69" s="102"/>
      <c r="AR69" s="103"/>
      <c r="AS69" s="95"/>
      <c r="AW69" s="95"/>
      <c r="AX69" s="95"/>
      <c r="AY69" s="95"/>
      <c r="BA69" s="95"/>
      <c r="BB69" s="95"/>
      <c r="BD69" s="95"/>
      <c r="BE69" s="95"/>
      <c r="BG69" s="95"/>
      <c r="BH69" s="95"/>
    </row>
    <row r="71" spans="31:60" ht="30" customHeight="1" x14ac:dyDescent="0.25"/>
    <row r="72" spans="31:60" ht="41.45" customHeight="1" x14ac:dyDescent="0.25"/>
    <row r="75" spans="31:60" ht="30.6" customHeight="1" x14ac:dyDescent="0.25"/>
    <row r="76" spans="31:60" ht="30.6" customHeight="1" x14ac:dyDescent="0.25"/>
    <row r="78" spans="31:60" ht="31.15" customHeight="1" x14ac:dyDescent="0.25"/>
    <row r="79" spans="31:60" ht="37.15" customHeight="1" x14ac:dyDescent="0.25"/>
    <row r="85" ht="25.9" customHeight="1" x14ac:dyDescent="0.25"/>
    <row r="86" ht="33.6" customHeight="1" x14ac:dyDescent="0.25"/>
    <row r="87" ht="23.45" customHeight="1" x14ac:dyDescent="0.25"/>
    <row r="88" ht="27" customHeight="1" x14ac:dyDescent="0.25"/>
    <row r="90" ht="34.9" customHeight="1" x14ac:dyDescent="0.25"/>
  </sheetData>
  <customSheetViews>
    <customSheetView guid="{1C22F7F7-9579-4EB5-A8CA-D350C0762604}" scale="85" showGridLines="0" fitToPage="1" showAutoFilter="1" hiddenColumns="1">
      <pane ySplit="3" topLeftCell="A4" activePane="bottomLeft" state="frozen"/>
      <selection pane="bottomLeft" activeCell="F13" sqref="F13"/>
      <pageMargins left="0" right="0" top="0" bottom="0" header="0" footer="0"/>
      <pageSetup scale="29" orientation="landscape" verticalDpi="150" r:id="rId1"/>
      <autoFilter ref="C3:AE4" xr:uid="{14382561-A172-48E5-9F1E-BDB319915BD1}"/>
    </customSheetView>
    <customSheetView guid="{4851D30D-70CC-42AC-B172-191FDE9985B7}" scale="85" showPageBreaks="1" showGridLines="0" fitToPage="1" filter="1" showAutoFilter="1" hiddenColumns="1">
      <pane xSplit="6" ySplit="68" topLeftCell="AB70" activePane="bottomRight" state="frozen"/>
      <selection pane="bottomRight" activeCell="AD70" sqref="AD70"/>
      <pageMargins left="0" right="0" top="0" bottom="0" header="0" footer="0"/>
      <pageSetup paperSize="8" scale="63" orientation="landscape" r:id="rId2"/>
      <autoFilter ref="C3:AE80" xr:uid="{59AA115C-E17B-47D2-B347-DCB3F6D61B2C}">
        <filterColumn colId="0">
          <filters>
            <filter val="Aguardando Retorno Fornecedores"/>
            <filter val="Comprador Negociando"/>
            <filter val="Prazo de Retorno Vencido"/>
          </filters>
        </filterColumn>
      </autoFilter>
    </customSheetView>
    <customSheetView guid="{362E84E2-8AFF-423C-A554-5ADC2CF2A51F}" scale="80" showGridLines="0" fitToPage="1" filter="1" showAutoFilter="1" hiddenColumns="1">
      <pane xSplit="6" ySplit="3" topLeftCell="AB70" activePane="bottomRight" state="frozen"/>
      <selection pane="bottomRight" activeCell="C80" sqref="C80"/>
      <pageMargins left="0" right="0" top="0" bottom="0" header="0" footer="0"/>
      <pageSetup scale="25" orientation="landscape" verticalDpi="150" r:id="rId3"/>
      <autoFilter ref="C3:AE80" xr:uid="{5BD1C0EC-F6A7-4100-97F6-C790F6F3A085}">
        <filterColumn colId="0">
          <filters>
            <filter val="Comprador Negociando"/>
            <filter val="Prazo de Retorno Vencido"/>
          </filters>
        </filterColumn>
      </autoFilter>
    </customSheetView>
    <customSheetView guid="{B3DC9F61-6F8B-4053-A6D8-3CCB07FE231B}" scale="80" showGridLines="0" fitToPage="1" showAutoFilter="1" hiddenColumns="1">
      <pane ySplit="3" topLeftCell="A61" activePane="bottomLeft" state="frozen"/>
      <selection pane="bottomLeft" activeCell="Y76" sqref="Y76"/>
      <pageMargins left="0" right="0" top="0" bottom="0" header="0" footer="0"/>
      <pageSetup scale="21" orientation="landscape" verticalDpi="150" r:id="rId4"/>
      <autoFilter ref="B3:AD76" xr:uid="{89035716-43C2-4D67-9D3C-774F60278B5F}"/>
    </customSheetView>
    <customSheetView guid="{F4DA6BDC-F45B-40AD-8B61-EF621B910826}" scale="80" showPageBreaks="1" showGridLines="0" fitToPage="1" filter="1" showAutoFilter="1" hiddenColumns="1">
      <pane xSplit="6" ySplit="3" topLeftCell="AD70" activePane="bottomRight" state="frozen"/>
      <selection pane="bottomRight" activeCell="AA28" sqref="AA28"/>
      <pageMargins left="0" right="0" top="0" bottom="0" header="0" footer="0"/>
      <pageSetup scale="25" orientation="landscape" verticalDpi="150" r:id="rId5"/>
      <autoFilter ref="C3:AE81" xr:uid="{C67C4109-2AE8-4A90-9B29-02CB460F1FEF}">
        <filterColumn colId="0">
          <filters>
            <filter val="Aguardando Retorno Fornecedores"/>
            <filter val="Comprador Negociando"/>
            <filter val="Prazo de Retorno Vencido"/>
          </filters>
        </filterColumn>
      </autoFilter>
    </customSheetView>
  </customSheetViews>
  <phoneticPr fontId="6" type="noConversion"/>
  <conditionalFormatting sqref="A2:AE8">
    <cfRule type="expression" dxfId="11" priority="2431">
      <formula>$A2:$A2="Aguardando Coordenador"</formula>
    </cfRule>
    <cfRule type="expression" dxfId="10" priority="2432">
      <formula>$AE2="CANCELADA"</formula>
    </cfRule>
    <cfRule type="expression" dxfId="9" priority="2433">
      <formula>$A2="Finalizado"</formula>
    </cfRule>
    <cfRule type="expression" dxfId="8" priority="2434">
      <formula>$A2="Aguardando Pedido"</formula>
    </cfRule>
    <cfRule type="expression" dxfId="7" priority="2435">
      <formula>$A2="Prazo de Retorno Vencido"</formula>
    </cfRule>
    <cfRule type="expression" dxfId="6" priority="2436">
      <formula>$A2="Equalização Comercial"</formula>
    </cfRule>
    <cfRule type="expression" dxfId="5" priority="2437">
      <formula>$A2="Aguardando Retorno Fornecedores"</formula>
    </cfRule>
  </conditionalFormatting>
  <dataValidations count="5">
    <dataValidation type="list" allowBlank="1" showInputMessage="1" showErrorMessage="1" sqref="P2:P8" xr:uid="{53AD7F5C-574B-4F44-B14D-3FC0D63F7F68}">
      <formula1>"Compras,PCM,Coordenador,Cancelada,Gestão de Terceiros"</formula1>
    </dataValidation>
    <dataValidation type="list" allowBlank="1" showInputMessage="1" showErrorMessage="1" sqref="K2:K8" xr:uid="{F50180F9-4359-4953-A0A6-996D9125B785}">
      <formula1>"Edvaldo,Jhonatan,Luã"</formula1>
    </dataValidation>
    <dataValidation type="list" allowBlank="1" showInputMessage="1" showErrorMessage="1" sqref="L2:L8" xr:uid="{A2EFA54F-C1E3-4D39-9320-A835CB653D0F}">
      <formula1>"Críticos,70%,30%,Extra"</formula1>
    </dataValidation>
    <dataValidation type="list" allowBlank="1" showInputMessage="1" showErrorMessage="1" sqref="J2:J8" xr:uid="{FD2D4EBA-4C78-4003-A145-C71F21723E2B}">
      <formula1>"InLoco,Manut. Externa"</formula1>
    </dataValidation>
    <dataValidation type="list" allowBlank="1" showInputMessage="1" showErrorMessage="1" sqref="O2:O8" xr:uid="{A91746B5-244D-4403-8A87-9B308CEE9B33}">
      <formula1>"Sim,Não"</formula1>
    </dataValidation>
  </dataValidations>
  <pageMargins left="0.25" right="0.25" top="0.75" bottom="0.75" header="0.3" footer="0.3"/>
  <pageSetup scale="10" orientation="landscape" verticalDpi="150" r:id="rId6"/>
  <tableParts count="1"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9DAD893-6CB5-420B-A38E-582752C86719}">
          <x14:formula1>
            <xm:f>AUX!$B$4:$B$31</xm:f>
          </x14:formula1>
          <xm:sqref>H2:H8</xm:sqref>
        </x14:dataValidation>
        <x14:dataValidation type="list" allowBlank="1" showInputMessage="1" showErrorMessage="1" xr:uid="{F64F39B1-6CB0-4811-8034-11EB984D714B}">
          <x14:formula1>
            <xm:f>AUX!$D$5:$D$9</xm:f>
          </x14:formula1>
          <xm:sqref>I2:I8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4205C-3BF5-4F80-89EA-29F77C844F2C}">
  <dimension ref="H2:I19"/>
  <sheetViews>
    <sheetView workbookViewId="0">
      <selection activeCell="I5" sqref="I5"/>
    </sheetView>
  </sheetViews>
  <sheetFormatPr defaultRowHeight="15" x14ac:dyDescent="0.25"/>
  <cols>
    <col min="8" max="8" width="24.140625" customWidth="1"/>
  </cols>
  <sheetData>
    <row r="2" spans="8:9" x14ac:dyDescent="0.25">
      <c r="H2" t="s">
        <v>50</v>
      </c>
      <c r="I2">
        <v>88</v>
      </c>
    </row>
    <row r="3" spans="8:9" x14ac:dyDescent="0.25">
      <c r="H3" t="s">
        <v>51</v>
      </c>
      <c r="I3">
        <v>85</v>
      </c>
    </row>
    <row r="4" spans="8:9" x14ac:dyDescent="0.25">
      <c r="H4" t="s">
        <v>52</v>
      </c>
      <c r="I4">
        <v>3</v>
      </c>
    </row>
    <row r="17" spans="8:9" x14ac:dyDescent="0.25">
      <c r="H17" t="s">
        <v>50</v>
      </c>
      <c r="I17">
        <v>9</v>
      </c>
    </row>
    <row r="18" spans="8:9" x14ac:dyDescent="0.25">
      <c r="H18" t="s">
        <v>51</v>
      </c>
      <c r="I18">
        <v>9</v>
      </c>
    </row>
    <row r="19" spans="8:9" x14ac:dyDescent="0.25">
      <c r="H19" t="s">
        <v>52</v>
      </c>
      <c r="I19">
        <v>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CE1BB-8064-4DA4-A682-AF176F48B054}">
  <sheetPr codeName="Planilha3">
    <tabColor theme="8" tint="0.59999389629810485"/>
  </sheetPr>
  <dimension ref="A4:X82"/>
  <sheetViews>
    <sheetView topLeftCell="I4" workbookViewId="0">
      <selection activeCell="P38" sqref="P38"/>
    </sheetView>
  </sheetViews>
  <sheetFormatPr defaultRowHeight="15" x14ac:dyDescent="0.25"/>
  <cols>
    <col min="1" max="1" width="3.28515625" customWidth="1"/>
    <col min="2" max="2" width="16.85546875" customWidth="1"/>
    <col min="3" max="3" width="11.7109375" customWidth="1"/>
    <col min="5" max="5" width="35.85546875" bestFit="1" customWidth="1"/>
    <col min="6" max="6" width="14.140625" customWidth="1"/>
    <col min="7" max="7" width="28.7109375" bestFit="1" customWidth="1"/>
    <col min="8" max="8" width="37.85546875" customWidth="1"/>
    <col min="10" max="11" width="10.7109375" bestFit="1" customWidth="1"/>
    <col min="12" max="12" width="23.7109375" customWidth="1"/>
    <col min="13" max="13" width="19.85546875" bestFit="1" customWidth="1"/>
    <col min="14" max="14" width="17.42578125" bestFit="1" customWidth="1"/>
    <col min="15" max="15" width="16.7109375" customWidth="1"/>
    <col min="16" max="16" width="22.28515625" bestFit="1" customWidth="1"/>
    <col min="17" max="17" width="16.85546875" hidden="1" customWidth="1"/>
    <col min="18" max="19" width="16.5703125" hidden="1" customWidth="1"/>
    <col min="20" max="20" width="17" hidden="1" customWidth="1"/>
    <col min="21" max="21" width="27.7109375" hidden="1" customWidth="1"/>
    <col min="22" max="22" width="64.140625" bestFit="1" customWidth="1"/>
    <col min="23" max="23" width="26.42578125" bestFit="1" customWidth="1"/>
    <col min="24" max="24" width="12" bestFit="1" customWidth="1"/>
  </cols>
  <sheetData>
    <row r="4" spans="1:24" ht="28.5" customHeight="1" x14ac:dyDescent="0.25">
      <c r="B4" s="64" t="s">
        <v>0</v>
      </c>
      <c r="C4" s="14" t="s">
        <v>1</v>
      </c>
      <c r="D4" s="15" t="s">
        <v>53</v>
      </c>
      <c r="E4" s="16" t="s">
        <v>6</v>
      </c>
      <c r="F4" s="15" t="s">
        <v>54</v>
      </c>
      <c r="G4" s="15" t="s">
        <v>8</v>
      </c>
      <c r="H4" s="15" t="s">
        <v>55</v>
      </c>
      <c r="I4" s="15" t="s">
        <v>56</v>
      </c>
      <c r="J4" s="17" t="s">
        <v>57</v>
      </c>
      <c r="K4" s="17" t="s">
        <v>58</v>
      </c>
      <c r="L4" s="17" t="s">
        <v>20</v>
      </c>
      <c r="M4" s="17" t="s">
        <v>59</v>
      </c>
      <c r="N4" s="15" t="s">
        <v>21</v>
      </c>
      <c r="O4" s="15" t="s">
        <v>22</v>
      </c>
      <c r="P4" s="15" t="s">
        <v>23</v>
      </c>
      <c r="Q4" s="15" t="s">
        <v>24</v>
      </c>
      <c r="R4" s="15" t="s">
        <v>25</v>
      </c>
      <c r="S4" s="15" t="s">
        <v>26</v>
      </c>
      <c r="T4" s="15" t="s">
        <v>27</v>
      </c>
      <c r="U4" s="15" t="s">
        <v>60</v>
      </c>
      <c r="V4" s="17" t="s">
        <v>61</v>
      </c>
      <c r="W4" s="17" t="s">
        <v>62</v>
      </c>
      <c r="X4" s="65" t="s">
        <v>63</v>
      </c>
    </row>
    <row r="5" spans="1:24" ht="27" hidden="1" customHeight="1" x14ac:dyDescent="0.25">
      <c r="A5" t="s">
        <v>64</v>
      </c>
      <c r="B5" s="53" t="str">
        <f t="shared" ref="B5:B36" ca="1" si="0">IF($X5&lt;&gt;"","Finalizado",IF($O5&lt;&gt;"","Comprador Negociando",IF($M5&gt;=TODAY(),"Aguardando Retorno Fornecedores","Prazo de Retorno Vencido")))</f>
        <v>Finalizado</v>
      </c>
      <c r="C5" s="12" t="str">
        <f t="shared" ref="C5:C36" ca="1" si="1">IF(B5="Finalizado","Ok",IF(IF(M5="",_xlfn.DAYS(TODAY(),J5),_xlfn.DAYS(TODAY(),M5))&gt;1,IF(M5="",_xlfn.DAYS(TODAY(),J5),_xlfn.DAYS(TODAY(),M5))&amp;" Dias",IF(M5="",_xlfn.DAYS(TODAY(),J5),_xlfn.DAYS(TODAY(),M5))&amp;" Dia"))</f>
        <v>Ok</v>
      </c>
      <c r="D5" s="2">
        <v>1</v>
      </c>
      <c r="E5" s="3" t="s">
        <v>65</v>
      </c>
      <c r="F5" s="2" t="s">
        <v>66</v>
      </c>
      <c r="G5" s="2"/>
      <c r="H5" s="8" t="s">
        <v>67</v>
      </c>
      <c r="I5" s="2">
        <v>5</v>
      </c>
      <c r="J5" s="6">
        <v>45491</v>
      </c>
      <c r="K5" s="6">
        <v>45506</v>
      </c>
      <c r="L5" s="9">
        <f>COUNTA([1]Equalizações!S2:Y2)</f>
        <v>1</v>
      </c>
      <c r="M5" s="6">
        <v>45512</v>
      </c>
      <c r="N5" s="10" t="s">
        <v>68</v>
      </c>
      <c r="O5" s="10" t="s">
        <v>69</v>
      </c>
      <c r="P5" s="10" t="s">
        <v>70</v>
      </c>
      <c r="Q5" s="10" t="s">
        <v>71</v>
      </c>
      <c r="R5" s="6" t="s">
        <v>72</v>
      </c>
      <c r="S5" s="6"/>
      <c r="T5" s="6"/>
      <c r="U5" s="7"/>
      <c r="V5" s="7" t="s">
        <v>73</v>
      </c>
      <c r="W5" s="4" t="s">
        <v>74</v>
      </c>
      <c r="X5" s="18" t="s">
        <v>75</v>
      </c>
    </row>
    <row r="6" spans="1:24" ht="27" hidden="1" customHeight="1" x14ac:dyDescent="0.25">
      <c r="A6" t="s">
        <v>64</v>
      </c>
      <c r="B6" s="53" t="str">
        <f t="shared" ca="1" si="0"/>
        <v>Finalizado</v>
      </c>
      <c r="C6" s="12" t="str">
        <f t="shared" ca="1" si="1"/>
        <v>Ok</v>
      </c>
      <c r="D6" s="2">
        <v>2</v>
      </c>
      <c r="E6" s="3" t="s">
        <v>76</v>
      </c>
      <c r="F6" s="2" t="s">
        <v>66</v>
      </c>
      <c r="G6" s="2"/>
      <c r="H6" s="22" t="s">
        <v>77</v>
      </c>
      <c r="I6" s="23">
        <v>7</v>
      </c>
      <c r="J6" s="6">
        <v>45495</v>
      </c>
      <c r="K6" s="6">
        <v>45512</v>
      </c>
      <c r="L6" s="9">
        <f>COUNTA([1]Equalizações!S5:Y5)</f>
        <v>7</v>
      </c>
      <c r="M6" s="6">
        <v>45533</v>
      </c>
      <c r="N6" s="7" t="s">
        <v>78</v>
      </c>
      <c r="O6" s="7" t="s">
        <v>79</v>
      </c>
      <c r="P6" s="6" t="s">
        <v>80</v>
      </c>
      <c r="Q6" s="6" t="s">
        <v>81</v>
      </c>
      <c r="R6" s="7" t="s">
        <v>82</v>
      </c>
      <c r="S6" s="6" t="s">
        <v>83</v>
      </c>
      <c r="T6" s="7" t="s">
        <v>84</v>
      </c>
      <c r="U6" s="7"/>
      <c r="V6" s="6" t="s">
        <v>83</v>
      </c>
      <c r="W6" s="4" t="s">
        <v>85</v>
      </c>
      <c r="X6" s="58" t="s">
        <v>75</v>
      </c>
    </row>
    <row r="7" spans="1:24" ht="27" hidden="1" customHeight="1" x14ac:dyDescent="0.25">
      <c r="A7" t="s">
        <v>64</v>
      </c>
      <c r="B7" s="53" t="str">
        <f t="shared" ca="1" si="0"/>
        <v>Finalizado</v>
      </c>
      <c r="C7" s="12" t="str">
        <f t="shared" ca="1" si="1"/>
        <v>Ok</v>
      </c>
      <c r="D7" s="2">
        <v>3</v>
      </c>
      <c r="E7" s="3" t="s">
        <v>86</v>
      </c>
      <c r="F7" s="2" t="s">
        <v>87</v>
      </c>
      <c r="G7" s="2"/>
      <c r="H7" s="22" t="s">
        <v>88</v>
      </c>
      <c r="I7" s="23">
        <v>5</v>
      </c>
      <c r="J7" s="6">
        <v>45496</v>
      </c>
      <c r="K7" s="6">
        <v>45514</v>
      </c>
      <c r="L7" s="9">
        <f>COUNTA([1]Equalizações!S3:Y3)</f>
        <v>7</v>
      </c>
      <c r="M7" s="6">
        <v>45525</v>
      </c>
      <c r="N7" s="10" t="s">
        <v>89</v>
      </c>
      <c r="O7" s="6" t="s">
        <v>90</v>
      </c>
      <c r="P7" s="6" t="s">
        <v>91</v>
      </c>
      <c r="Q7" s="6" t="s">
        <v>92</v>
      </c>
      <c r="R7" s="6" t="s">
        <v>93</v>
      </c>
      <c r="S7" s="6"/>
      <c r="T7" s="6"/>
      <c r="U7" s="7"/>
      <c r="V7" s="6" t="s">
        <v>94</v>
      </c>
      <c r="W7" s="4" t="s">
        <v>95</v>
      </c>
      <c r="X7" s="18" t="s">
        <v>75</v>
      </c>
    </row>
    <row r="8" spans="1:24" ht="27" hidden="1" customHeight="1" x14ac:dyDescent="0.25">
      <c r="A8" t="s">
        <v>64</v>
      </c>
      <c r="B8" s="53" t="str">
        <f t="shared" ca="1" si="0"/>
        <v>Finalizado</v>
      </c>
      <c r="C8" s="12" t="str">
        <f t="shared" ca="1" si="1"/>
        <v>Ok</v>
      </c>
      <c r="D8" s="2">
        <v>5</v>
      </c>
      <c r="E8" s="3" t="s">
        <v>96</v>
      </c>
      <c r="F8" s="2" t="s">
        <v>97</v>
      </c>
      <c r="G8" s="2"/>
      <c r="H8" s="4" t="s">
        <v>98</v>
      </c>
      <c r="I8" s="2">
        <v>7</v>
      </c>
      <c r="J8" s="6">
        <v>45498</v>
      </c>
      <c r="K8" s="6">
        <v>45517</v>
      </c>
      <c r="L8" s="9">
        <f>COUNTA([1]Equalizações!S9:Y9)</f>
        <v>6</v>
      </c>
      <c r="M8" s="6">
        <v>45553</v>
      </c>
      <c r="N8" s="10" t="s">
        <v>91</v>
      </c>
      <c r="O8" s="6" t="s">
        <v>99</v>
      </c>
      <c r="P8" s="7" t="s">
        <v>100</v>
      </c>
      <c r="Q8" s="6" t="s">
        <v>101</v>
      </c>
      <c r="R8" s="7" t="s">
        <v>102</v>
      </c>
      <c r="S8" s="7" t="s">
        <v>103</v>
      </c>
      <c r="T8" s="7" t="s">
        <v>104</v>
      </c>
      <c r="U8" s="7"/>
      <c r="V8" s="6" t="s">
        <v>91</v>
      </c>
      <c r="W8" s="4" t="s">
        <v>105</v>
      </c>
      <c r="X8" s="58" t="s">
        <v>75</v>
      </c>
    </row>
    <row r="9" spans="1:24" ht="27" hidden="1" customHeight="1" x14ac:dyDescent="0.25">
      <c r="A9" t="s">
        <v>106</v>
      </c>
      <c r="B9" s="53" t="str">
        <f t="shared" ca="1" si="0"/>
        <v>Finalizado</v>
      </c>
      <c r="C9" s="12" t="str">
        <f t="shared" ca="1" si="1"/>
        <v>Ok</v>
      </c>
      <c r="D9" s="25">
        <v>7</v>
      </c>
      <c r="E9" s="26" t="s">
        <v>107</v>
      </c>
      <c r="F9" s="2" t="s">
        <v>97</v>
      </c>
      <c r="G9" s="2"/>
      <c r="H9" s="27" t="s">
        <v>108</v>
      </c>
      <c r="I9" s="25">
        <v>6</v>
      </c>
      <c r="J9" s="28">
        <v>45502</v>
      </c>
      <c r="K9" s="28">
        <v>45517</v>
      </c>
      <c r="L9" s="9">
        <f>COUNTA([1]Equalizações!S10:Y10)</f>
        <v>6</v>
      </c>
      <c r="M9" s="28">
        <v>45553</v>
      </c>
      <c r="N9" s="10" t="s">
        <v>109</v>
      </c>
      <c r="O9" s="10" t="s">
        <v>110</v>
      </c>
      <c r="P9" s="10" t="s">
        <v>111</v>
      </c>
      <c r="Q9" s="28" t="s">
        <v>112</v>
      </c>
      <c r="R9" s="24" t="s">
        <v>113</v>
      </c>
      <c r="S9" s="24" t="s">
        <v>114</v>
      </c>
      <c r="T9" s="28"/>
      <c r="U9" s="7"/>
      <c r="V9" s="28" t="s">
        <v>115</v>
      </c>
      <c r="W9" s="29" t="s">
        <v>116</v>
      </c>
      <c r="X9" s="60" t="s">
        <v>75</v>
      </c>
    </row>
    <row r="10" spans="1:24" ht="27" hidden="1" customHeight="1" x14ac:dyDescent="0.25">
      <c r="B10" s="54" t="str">
        <f t="shared" ca="1" si="0"/>
        <v>Finalizado</v>
      </c>
      <c r="C10" s="12" t="str">
        <f t="shared" ca="1" si="1"/>
        <v>Ok</v>
      </c>
      <c r="D10" s="25">
        <v>8</v>
      </c>
      <c r="E10" s="26" t="s">
        <v>117</v>
      </c>
      <c r="F10" s="2" t="s">
        <v>97</v>
      </c>
      <c r="G10" s="2"/>
      <c r="H10" s="27" t="s">
        <v>118</v>
      </c>
      <c r="I10" s="25">
        <v>3</v>
      </c>
      <c r="J10" s="28">
        <v>45504</v>
      </c>
      <c r="K10" s="28">
        <v>45520</v>
      </c>
      <c r="L10" s="9">
        <f>COUNTA([1]Equalizações!S4:Y4)</f>
        <v>7</v>
      </c>
      <c r="M10" s="28">
        <v>45526</v>
      </c>
      <c r="N10" s="10" t="s">
        <v>119</v>
      </c>
      <c r="O10" s="10" t="s">
        <v>120</v>
      </c>
      <c r="P10" s="28" t="s">
        <v>121</v>
      </c>
      <c r="Q10" s="28"/>
      <c r="R10" s="28"/>
      <c r="S10" s="28"/>
      <c r="T10" s="28"/>
      <c r="U10" s="24"/>
      <c r="V10" s="28" t="s">
        <v>122</v>
      </c>
      <c r="W10" s="29" t="s">
        <v>123</v>
      </c>
      <c r="X10" s="57" t="s">
        <v>75</v>
      </c>
    </row>
    <row r="11" spans="1:24" ht="27" hidden="1" customHeight="1" x14ac:dyDescent="0.25">
      <c r="A11" t="s">
        <v>64</v>
      </c>
      <c r="B11" s="54" t="str">
        <f t="shared" ca="1" si="0"/>
        <v>Finalizado</v>
      </c>
      <c r="C11" s="12" t="str">
        <f t="shared" ca="1" si="1"/>
        <v>Ok</v>
      </c>
      <c r="D11" s="25">
        <v>9</v>
      </c>
      <c r="E11" s="26" t="s">
        <v>124</v>
      </c>
      <c r="F11" s="2" t="s">
        <v>66</v>
      </c>
      <c r="G11" s="2"/>
      <c r="H11" s="27" t="s">
        <v>125</v>
      </c>
      <c r="I11" s="25">
        <v>6</v>
      </c>
      <c r="J11" s="28">
        <v>45505</v>
      </c>
      <c r="K11" s="28">
        <v>45524</v>
      </c>
      <c r="L11" s="9">
        <f>COUNTA([1]Equalizações!S6:Y6)</f>
        <v>5</v>
      </c>
      <c r="M11" s="28">
        <v>45533</v>
      </c>
      <c r="N11" s="28" t="s">
        <v>80</v>
      </c>
      <c r="O11" s="24" t="s">
        <v>82</v>
      </c>
      <c r="P11" s="28" t="s">
        <v>126</v>
      </c>
      <c r="Q11" s="28" t="s">
        <v>127</v>
      </c>
      <c r="R11" s="24" t="s">
        <v>128</v>
      </c>
      <c r="S11" s="24" t="s">
        <v>129</v>
      </c>
      <c r="T11" s="28"/>
      <c r="U11" s="24"/>
      <c r="V11" s="28" t="s">
        <v>126</v>
      </c>
      <c r="W11" s="29" t="s">
        <v>130</v>
      </c>
      <c r="X11" s="57" t="s">
        <v>75</v>
      </c>
    </row>
    <row r="12" spans="1:24" ht="27" hidden="1" customHeight="1" x14ac:dyDescent="0.25">
      <c r="A12" t="s">
        <v>64</v>
      </c>
      <c r="B12" s="54" t="str">
        <f t="shared" ca="1" si="0"/>
        <v>Finalizado</v>
      </c>
      <c r="C12" s="12" t="str">
        <f t="shared" ca="1" si="1"/>
        <v>Ok</v>
      </c>
      <c r="D12" s="2">
        <v>14</v>
      </c>
      <c r="E12" s="3" t="s">
        <v>131</v>
      </c>
      <c r="F12" s="2" t="s">
        <v>66</v>
      </c>
      <c r="G12" s="2"/>
      <c r="H12" s="4" t="s">
        <v>132</v>
      </c>
      <c r="I12" s="25">
        <v>4</v>
      </c>
      <c r="J12" s="28">
        <v>45534</v>
      </c>
      <c r="K12" s="6">
        <v>45545</v>
      </c>
      <c r="L12" s="9">
        <f>COUNTA([1]Equalizações!S8:Y8)</f>
        <v>7</v>
      </c>
      <c r="M12" s="28">
        <v>45547</v>
      </c>
      <c r="N12" s="28" t="s">
        <v>133</v>
      </c>
      <c r="O12" s="6" t="s">
        <v>111</v>
      </c>
      <c r="P12" s="6" t="s">
        <v>134</v>
      </c>
      <c r="Q12" s="24" t="s">
        <v>135</v>
      </c>
      <c r="R12" s="28"/>
      <c r="S12" s="6"/>
      <c r="T12" s="6"/>
      <c r="U12" s="24"/>
      <c r="V12" s="28" t="s">
        <v>135</v>
      </c>
      <c r="W12" s="29" t="s">
        <v>136</v>
      </c>
      <c r="X12" s="59" t="s">
        <v>75</v>
      </c>
    </row>
    <row r="13" spans="1:24" ht="27" hidden="1" customHeight="1" x14ac:dyDescent="0.25">
      <c r="A13" t="s">
        <v>64</v>
      </c>
      <c r="B13" s="53" t="str">
        <f t="shared" ca="1" si="0"/>
        <v>Finalizado</v>
      </c>
      <c r="C13" s="12" t="str">
        <f t="shared" ca="1" si="1"/>
        <v>Ok</v>
      </c>
      <c r="D13" s="2">
        <v>12</v>
      </c>
      <c r="E13" s="3" t="s">
        <v>137</v>
      </c>
      <c r="F13" s="2" t="s">
        <v>87</v>
      </c>
      <c r="G13" s="2"/>
      <c r="H13" s="4" t="s">
        <v>138</v>
      </c>
      <c r="I13" s="25">
        <v>3</v>
      </c>
      <c r="J13" s="28">
        <v>45537</v>
      </c>
      <c r="K13" s="6">
        <v>45545</v>
      </c>
      <c r="L13" s="9">
        <f>COUNTA([1]Equalizações!S13:Y13)</f>
        <v>4</v>
      </c>
      <c r="M13" s="28">
        <v>45581</v>
      </c>
      <c r="N13" s="28" t="s">
        <v>139</v>
      </c>
      <c r="O13" s="6" t="s">
        <v>101</v>
      </c>
      <c r="P13" s="6" t="s">
        <v>140</v>
      </c>
      <c r="Q13" s="24"/>
      <c r="R13" s="28"/>
      <c r="S13" s="6"/>
      <c r="T13" s="6"/>
      <c r="U13" s="7"/>
      <c r="V13" s="28" t="s">
        <v>101</v>
      </c>
      <c r="W13" s="29" t="s">
        <v>141</v>
      </c>
      <c r="X13" s="58" t="s">
        <v>75</v>
      </c>
    </row>
    <row r="14" spans="1:24" ht="27" hidden="1" customHeight="1" x14ac:dyDescent="0.25">
      <c r="B14" s="53" t="str">
        <f t="shared" ca="1" si="0"/>
        <v>Finalizado</v>
      </c>
      <c r="C14" s="12" t="str">
        <f t="shared" ca="1" si="1"/>
        <v>Ok</v>
      </c>
      <c r="D14" s="2">
        <v>10</v>
      </c>
      <c r="E14" s="3" t="s">
        <v>142</v>
      </c>
      <c r="F14" s="2" t="s">
        <v>97</v>
      </c>
      <c r="G14" s="2"/>
      <c r="H14" s="4" t="s">
        <v>143</v>
      </c>
      <c r="I14" s="25">
        <v>4</v>
      </c>
      <c r="J14" s="28">
        <v>45531</v>
      </c>
      <c r="K14" s="6">
        <v>45547</v>
      </c>
      <c r="L14" s="9">
        <f>COUNTA([1]Equalizações!S7:Y7)</f>
        <v>7</v>
      </c>
      <c r="M14" s="28">
        <v>45546</v>
      </c>
      <c r="N14" s="28" t="s">
        <v>144</v>
      </c>
      <c r="O14" s="6" t="s">
        <v>145</v>
      </c>
      <c r="P14" s="6" t="s">
        <v>146</v>
      </c>
      <c r="Q14" s="28" t="s">
        <v>147</v>
      </c>
      <c r="R14" s="28"/>
      <c r="S14" s="6"/>
      <c r="T14" s="6"/>
      <c r="U14" s="7"/>
      <c r="V14" s="28" t="s">
        <v>147</v>
      </c>
      <c r="W14" s="29">
        <v>563067</v>
      </c>
      <c r="X14" s="58" t="s">
        <v>75</v>
      </c>
    </row>
    <row r="15" spans="1:24" ht="27" hidden="1" customHeight="1" x14ac:dyDescent="0.25">
      <c r="A15" t="s">
        <v>64</v>
      </c>
      <c r="B15" s="53" t="str">
        <f t="shared" ca="1" si="0"/>
        <v>Finalizado</v>
      </c>
      <c r="C15" s="12" t="str">
        <f t="shared" ca="1" si="1"/>
        <v>Ok</v>
      </c>
      <c r="D15" s="2">
        <v>11</v>
      </c>
      <c r="E15" s="3" t="s">
        <v>148</v>
      </c>
      <c r="F15" s="2" t="s">
        <v>66</v>
      </c>
      <c r="G15" s="2"/>
      <c r="H15" s="4" t="s">
        <v>149</v>
      </c>
      <c r="I15" s="25">
        <v>3</v>
      </c>
      <c r="J15" s="28">
        <v>45539</v>
      </c>
      <c r="K15" s="6">
        <v>45548</v>
      </c>
      <c r="L15" s="9">
        <f>COUNTA([1]Equalizações!S12:Y12)</f>
        <v>7</v>
      </c>
      <c r="M15" s="28">
        <v>45577</v>
      </c>
      <c r="N15" s="28" t="s">
        <v>150</v>
      </c>
      <c r="O15" s="6" t="s">
        <v>151</v>
      </c>
      <c r="P15" s="6" t="s">
        <v>152</v>
      </c>
      <c r="Q15" s="28"/>
      <c r="R15" s="28"/>
      <c r="S15" s="6"/>
      <c r="T15" s="6"/>
      <c r="U15" s="7"/>
      <c r="V15" s="28" t="s">
        <v>153</v>
      </c>
      <c r="W15" s="29" t="s">
        <v>154</v>
      </c>
      <c r="X15" s="58" t="s">
        <v>75</v>
      </c>
    </row>
    <row r="16" spans="1:24" ht="27" hidden="1" customHeight="1" x14ac:dyDescent="0.25">
      <c r="A16" t="s">
        <v>64</v>
      </c>
      <c r="B16" s="54" t="str">
        <f t="shared" ca="1" si="0"/>
        <v>Finalizado</v>
      </c>
      <c r="C16" s="12" t="str">
        <f t="shared" ca="1" si="1"/>
        <v>Ok</v>
      </c>
      <c r="D16" s="2">
        <v>15</v>
      </c>
      <c r="E16" s="3" t="s">
        <v>155</v>
      </c>
      <c r="F16" s="2" t="s">
        <v>66</v>
      </c>
      <c r="G16" s="2"/>
      <c r="H16" s="4" t="s">
        <v>156</v>
      </c>
      <c r="I16" s="25">
        <v>2</v>
      </c>
      <c r="J16" s="28">
        <v>45546</v>
      </c>
      <c r="K16" s="6">
        <v>45553</v>
      </c>
      <c r="L16" s="9">
        <f>COUNTA([1]Equalizações!S11:Y11)</f>
        <v>7</v>
      </c>
      <c r="M16" s="28">
        <v>45561</v>
      </c>
      <c r="N16" s="28" t="s">
        <v>112</v>
      </c>
      <c r="O16" s="6" t="s">
        <v>157</v>
      </c>
      <c r="P16" s="6"/>
      <c r="Q16" s="28"/>
      <c r="R16" s="28"/>
      <c r="S16" s="6"/>
      <c r="T16" s="6"/>
      <c r="U16" s="24"/>
      <c r="V16" s="28" t="s">
        <v>112</v>
      </c>
      <c r="W16" s="29" t="s">
        <v>158</v>
      </c>
      <c r="X16" s="58" t="s">
        <v>75</v>
      </c>
    </row>
    <row r="17" spans="1:24" ht="27" hidden="1" customHeight="1" x14ac:dyDescent="0.25">
      <c r="A17" t="s">
        <v>64</v>
      </c>
      <c r="B17" s="53" t="str">
        <f t="shared" ca="1" si="0"/>
        <v>Finalizado</v>
      </c>
      <c r="C17" s="12" t="str">
        <f t="shared" ca="1" si="1"/>
        <v>Ok</v>
      </c>
      <c r="D17" s="2">
        <v>13</v>
      </c>
      <c r="E17" s="3" t="s">
        <v>159</v>
      </c>
      <c r="F17" s="2" t="s">
        <v>66</v>
      </c>
      <c r="G17" s="2"/>
      <c r="H17" s="4" t="s">
        <v>160</v>
      </c>
      <c r="I17" s="25">
        <v>5</v>
      </c>
      <c r="J17" s="28">
        <v>45552</v>
      </c>
      <c r="K17" s="6">
        <v>45562</v>
      </c>
      <c r="L17" s="9">
        <f>COUNTA([1]Equalizações!S14:Y14)</f>
        <v>5</v>
      </c>
      <c r="M17" s="28">
        <v>45581</v>
      </c>
      <c r="N17" s="28" t="s">
        <v>133</v>
      </c>
      <c r="O17" s="6" t="s">
        <v>135</v>
      </c>
      <c r="P17" s="6" t="s">
        <v>134</v>
      </c>
      <c r="Q17" s="24" t="s">
        <v>161</v>
      </c>
      <c r="R17" s="24" t="s">
        <v>162</v>
      </c>
      <c r="S17" s="6"/>
      <c r="T17" s="6"/>
      <c r="U17" s="7"/>
      <c r="V17" s="28" t="s">
        <v>135</v>
      </c>
      <c r="W17" s="29" t="s">
        <v>163</v>
      </c>
      <c r="X17" s="58" t="s">
        <v>75</v>
      </c>
    </row>
    <row r="18" spans="1:24" ht="27" hidden="1" customHeight="1" x14ac:dyDescent="0.25">
      <c r="A18" t="s">
        <v>64</v>
      </c>
      <c r="B18" s="53" t="str">
        <f t="shared" ca="1" si="0"/>
        <v>Comprador Negociando</v>
      </c>
      <c r="C18" s="12" t="str">
        <f t="shared" ca="1" si="1"/>
        <v>581 Dias</v>
      </c>
      <c r="D18" s="2">
        <v>18</v>
      </c>
      <c r="E18" s="3" t="s">
        <v>164</v>
      </c>
      <c r="F18" s="25" t="s">
        <v>87</v>
      </c>
      <c r="G18" s="25"/>
      <c r="H18" s="4" t="s">
        <v>165</v>
      </c>
      <c r="I18" s="25">
        <v>5</v>
      </c>
      <c r="J18" s="28">
        <v>45558</v>
      </c>
      <c r="K18" s="6">
        <v>45569</v>
      </c>
      <c r="L18" s="9">
        <f>COUNTA([1]Equalizações!S19:Y19)</f>
        <v>5</v>
      </c>
      <c r="M18" s="28">
        <v>45581</v>
      </c>
      <c r="N18" s="24" t="s">
        <v>166</v>
      </c>
      <c r="O18" s="6" t="s">
        <v>167</v>
      </c>
      <c r="P18" s="6" t="s">
        <v>168</v>
      </c>
      <c r="Q18" s="28" t="s">
        <v>169</v>
      </c>
      <c r="R18" s="24" t="s">
        <v>170</v>
      </c>
      <c r="S18" s="6"/>
      <c r="T18" s="6"/>
      <c r="U18" s="7"/>
      <c r="V18" s="28" t="s">
        <v>169</v>
      </c>
      <c r="W18" s="29" t="s">
        <v>171</v>
      </c>
      <c r="X18" s="58"/>
    </row>
    <row r="19" spans="1:24" ht="27" hidden="1" customHeight="1" x14ac:dyDescent="0.25">
      <c r="A19" t="s">
        <v>64</v>
      </c>
      <c r="B19" s="53" t="str">
        <f t="shared" ca="1" si="0"/>
        <v>Finalizado</v>
      </c>
      <c r="C19" s="12" t="str">
        <f t="shared" ca="1" si="1"/>
        <v>Ok</v>
      </c>
      <c r="D19" s="2">
        <v>19</v>
      </c>
      <c r="E19" s="3" t="s">
        <v>172</v>
      </c>
      <c r="F19" s="25" t="s">
        <v>87</v>
      </c>
      <c r="G19" s="25"/>
      <c r="H19" s="4" t="s">
        <v>173</v>
      </c>
      <c r="I19" s="25">
        <v>5</v>
      </c>
      <c r="J19" s="28">
        <v>45558</v>
      </c>
      <c r="K19" s="6">
        <v>45574</v>
      </c>
      <c r="L19" s="9">
        <f>COUNTA([1]Equalizações!S15:Y15)</f>
        <v>5</v>
      </c>
      <c r="M19" s="28">
        <v>45581</v>
      </c>
      <c r="N19" s="28" t="s">
        <v>174</v>
      </c>
      <c r="O19" s="6" t="s">
        <v>175</v>
      </c>
      <c r="P19" s="7" t="s">
        <v>176</v>
      </c>
      <c r="Q19" s="28" t="s">
        <v>177</v>
      </c>
      <c r="R19" s="24" t="s">
        <v>178</v>
      </c>
      <c r="S19" s="6"/>
      <c r="T19" s="6"/>
      <c r="U19" s="7"/>
      <c r="V19" s="28" t="s">
        <v>176</v>
      </c>
      <c r="W19" s="29" t="s">
        <v>179</v>
      </c>
      <c r="X19" s="58" t="s">
        <v>75</v>
      </c>
    </row>
    <row r="20" spans="1:24" ht="27" hidden="1" customHeight="1" x14ac:dyDescent="0.25">
      <c r="A20" t="s">
        <v>64</v>
      </c>
      <c r="B20" s="53" t="str">
        <f t="shared" ca="1" si="0"/>
        <v>Finalizado</v>
      </c>
      <c r="C20" s="12" t="str">
        <f t="shared" ca="1" si="1"/>
        <v>Ok</v>
      </c>
      <c r="D20" s="2">
        <v>22</v>
      </c>
      <c r="E20" s="3" t="s">
        <v>180</v>
      </c>
      <c r="F20" s="25" t="s">
        <v>66</v>
      </c>
      <c r="G20" s="25"/>
      <c r="H20" s="4" t="s">
        <v>181</v>
      </c>
      <c r="I20" s="25">
        <v>5</v>
      </c>
      <c r="J20" s="28">
        <v>45562</v>
      </c>
      <c r="K20" s="6">
        <v>45576</v>
      </c>
      <c r="L20" s="9">
        <f>COUNTA([1]Equalizações!S16:Y16)</f>
        <v>7</v>
      </c>
      <c r="M20" s="28">
        <v>45581</v>
      </c>
      <c r="N20" s="28" t="s">
        <v>182</v>
      </c>
      <c r="O20" s="7" t="s">
        <v>183</v>
      </c>
      <c r="P20" s="7" t="s">
        <v>184</v>
      </c>
      <c r="Q20" s="24" t="s">
        <v>185</v>
      </c>
      <c r="R20" s="24" t="s">
        <v>186</v>
      </c>
      <c r="S20" s="7"/>
      <c r="T20" s="6"/>
      <c r="U20" s="7"/>
      <c r="V20" s="28" t="s">
        <v>184</v>
      </c>
      <c r="W20" s="29" t="s">
        <v>187</v>
      </c>
      <c r="X20" s="58" t="s">
        <v>75</v>
      </c>
    </row>
    <row r="21" spans="1:24" ht="27" hidden="1" customHeight="1" x14ac:dyDescent="0.25">
      <c r="B21" s="53" t="str">
        <f t="shared" ca="1" si="0"/>
        <v>Finalizado</v>
      </c>
      <c r="C21" s="12" t="str">
        <f t="shared" ca="1" si="1"/>
        <v>Ok</v>
      </c>
      <c r="D21" s="2">
        <v>24</v>
      </c>
      <c r="E21" s="3" t="s">
        <v>188</v>
      </c>
      <c r="F21" s="25" t="s">
        <v>87</v>
      </c>
      <c r="G21" s="25" t="s">
        <v>189</v>
      </c>
      <c r="H21" s="4" t="s">
        <v>190</v>
      </c>
      <c r="I21" s="25">
        <v>3</v>
      </c>
      <c r="J21" s="28">
        <v>45566</v>
      </c>
      <c r="K21" s="6">
        <v>45576</v>
      </c>
      <c r="L21" s="9">
        <f>COUNTA([1]Equalizações!S17:Y17)</f>
        <v>7</v>
      </c>
      <c r="M21" s="28">
        <v>45590</v>
      </c>
      <c r="N21" s="24" t="s">
        <v>191</v>
      </c>
      <c r="O21" s="7" t="s">
        <v>192</v>
      </c>
      <c r="P21" s="7" t="s">
        <v>193</v>
      </c>
      <c r="Q21" s="28"/>
      <c r="R21" s="28"/>
      <c r="S21" s="6"/>
      <c r="T21" s="6"/>
      <c r="U21" s="7" t="s">
        <v>194</v>
      </c>
      <c r="V21" s="28" t="s">
        <v>191</v>
      </c>
      <c r="W21" s="29" t="s">
        <v>195</v>
      </c>
      <c r="X21" s="58" t="s">
        <v>75</v>
      </c>
    </row>
    <row r="22" spans="1:24" ht="27" hidden="1" customHeight="1" x14ac:dyDescent="0.25">
      <c r="B22" s="53" t="str">
        <f t="shared" ca="1" si="0"/>
        <v>Finalizado</v>
      </c>
      <c r="C22" s="12" t="str">
        <f t="shared" ca="1" si="1"/>
        <v>Ok</v>
      </c>
      <c r="D22" s="2">
        <v>16</v>
      </c>
      <c r="E22" s="3" t="s">
        <v>196</v>
      </c>
      <c r="F22" s="2" t="s">
        <v>66</v>
      </c>
      <c r="G22" s="2" t="s">
        <v>197</v>
      </c>
      <c r="H22" s="4" t="s">
        <v>198</v>
      </c>
      <c r="I22" s="25">
        <v>7</v>
      </c>
      <c r="J22" s="28">
        <v>45575</v>
      </c>
      <c r="K22" s="6">
        <v>45580</v>
      </c>
      <c r="L22" s="9">
        <f>COUNTA([1]Equalizações!S20:Y20)</f>
        <v>5</v>
      </c>
      <c r="M22" s="28">
        <v>45588</v>
      </c>
      <c r="N22" s="28" t="s">
        <v>199</v>
      </c>
      <c r="O22" s="6" t="s">
        <v>200</v>
      </c>
      <c r="P22" s="7" t="s">
        <v>201</v>
      </c>
      <c r="Q22" s="24" t="s">
        <v>202</v>
      </c>
      <c r="R22" s="24" t="s">
        <v>203</v>
      </c>
      <c r="S22" s="7" t="s">
        <v>204</v>
      </c>
      <c r="T22" s="7" t="s">
        <v>205</v>
      </c>
      <c r="U22" s="7"/>
      <c r="V22" s="28" t="s">
        <v>199</v>
      </c>
      <c r="W22" s="29">
        <v>564300</v>
      </c>
      <c r="X22" s="58" t="s">
        <v>75</v>
      </c>
    </row>
    <row r="23" spans="1:24" ht="27" hidden="1" customHeight="1" x14ac:dyDescent="0.25">
      <c r="B23" s="53" t="str">
        <f t="shared" ca="1" si="0"/>
        <v>Finalizado</v>
      </c>
      <c r="C23" s="12" t="str">
        <f t="shared" ca="1" si="1"/>
        <v>Ok</v>
      </c>
      <c r="D23" s="2">
        <v>26</v>
      </c>
      <c r="E23" s="3" t="s">
        <v>206</v>
      </c>
      <c r="F23" s="25" t="s">
        <v>97</v>
      </c>
      <c r="G23" s="25" t="s">
        <v>207</v>
      </c>
      <c r="H23" s="4" t="s">
        <v>208</v>
      </c>
      <c r="I23" s="25">
        <v>5</v>
      </c>
      <c r="J23" s="28">
        <v>45573</v>
      </c>
      <c r="K23" s="6">
        <v>45580</v>
      </c>
      <c r="L23" s="9">
        <f>COUNTA([1]Equalizações!S22:Y22)</f>
        <v>7</v>
      </c>
      <c r="M23" s="28">
        <v>45590</v>
      </c>
      <c r="N23" s="24" t="s">
        <v>209</v>
      </c>
      <c r="O23" s="6" t="s">
        <v>210</v>
      </c>
      <c r="P23" s="7" t="s">
        <v>211</v>
      </c>
      <c r="Q23" s="28" t="s">
        <v>212</v>
      </c>
      <c r="R23" s="28" t="s">
        <v>213</v>
      </c>
      <c r="S23" s="6"/>
      <c r="T23" s="6"/>
      <c r="U23" s="7"/>
      <c r="V23" s="28" t="s">
        <v>213</v>
      </c>
      <c r="W23" s="29" t="s">
        <v>214</v>
      </c>
      <c r="X23" s="58" t="s">
        <v>75</v>
      </c>
    </row>
    <row r="24" spans="1:24" ht="27" hidden="1" customHeight="1" x14ac:dyDescent="0.25">
      <c r="A24" t="s">
        <v>215</v>
      </c>
      <c r="B24" s="53" t="str">
        <f t="shared" ca="1" si="0"/>
        <v>Finalizado</v>
      </c>
      <c r="C24" s="12" t="str">
        <f t="shared" ca="1" si="1"/>
        <v>Ok</v>
      </c>
      <c r="D24" s="2">
        <v>17</v>
      </c>
      <c r="E24" s="3" t="s">
        <v>216</v>
      </c>
      <c r="F24" s="2" t="s">
        <v>66</v>
      </c>
      <c r="G24" s="2"/>
      <c r="H24" s="4" t="s">
        <v>217</v>
      </c>
      <c r="I24" s="25">
        <v>5</v>
      </c>
      <c r="J24" s="28">
        <v>45558</v>
      </c>
      <c r="K24" s="6">
        <v>45583</v>
      </c>
      <c r="L24" s="9">
        <f>COUNTA([1]Equalizações!S25:Y25)</f>
        <v>5</v>
      </c>
      <c r="M24" s="24">
        <v>45603</v>
      </c>
      <c r="N24" s="28" t="s">
        <v>218</v>
      </c>
      <c r="O24" s="6" t="s">
        <v>219</v>
      </c>
      <c r="P24" s="6" t="s">
        <v>220</v>
      </c>
      <c r="Q24" s="28" t="s">
        <v>221</v>
      </c>
      <c r="R24" s="24" t="s">
        <v>222</v>
      </c>
      <c r="S24" s="6"/>
      <c r="T24" s="6"/>
      <c r="U24" s="7"/>
      <c r="V24" s="28" t="s">
        <v>220</v>
      </c>
      <c r="W24" s="29" t="s">
        <v>223</v>
      </c>
      <c r="X24" s="58" t="s">
        <v>75</v>
      </c>
    </row>
    <row r="25" spans="1:24" ht="27" hidden="1" customHeight="1" x14ac:dyDescent="0.25">
      <c r="A25" t="s">
        <v>64</v>
      </c>
      <c r="B25" s="53" t="str">
        <f t="shared" ca="1" si="0"/>
        <v>Finalizado</v>
      </c>
      <c r="C25" s="12" t="str">
        <f t="shared" ca="1" si="1"/>
        <v>Ok</v>
      </c>
      <c r="D25" s="2">
        <v>23</v>
      </c>
      <c r="E25" s="3" t="s">
        <v>224</v>
      </c>
      <c r="F25" s="25" t="s">
        <v>66</v>
      </c>
      <c r="G25" s="25" t="s">
        <v>225</v>
      </c>
      <c r="H25" s="4" t="s">
        <v>226</v>
      </c>
      <c r="I25" s="25">
        <v>7</v>
      </c>
      <c r="J25" s="28">
        <v>45565</v>
      </c>
      <c r="K25" s="6">
        <v>45583</v>
      </c>
      <c r="L25" s="9">
        <f>COUNTA([1]Equalizações!S26:Y26)</f>
        <v>6</v>
      </c>
      <c r="M25" s="24">
        <v>45603</v>
      </c>
      <c r="N25" s="28" t="s">
        <v>227</v>
      </c>
      <c r="O25" s="6" t="s">
        <v>220</v>
      </c>
      <c r="P25" s="6" t="s">
        <v>219</v>
      </c>
      <c r="Q25" s="28" t="s">
        <v>218</v>
      </c>
      <c r="R25" s="28" t="s">
        <v>228</v>
      </c>
      <c r="S25" s="7" t="s">
        <v>229</v>
      </c>
      <c r="T25" s="7" t="s">
        <v>230</v>
      </c>
      <c r="U25" s="7"/>
      <c r="V25" s="28" t="s">
        <v>231</v>
      </c>
      <c r="W25" s="29" t="s">
        <v>232</v>
      </c>
      <c r="X25" s="58" t="s">
        <v>75</v>
      </c>
    </row>
    <row r="26" spans="1:24" ht="27" hidden="1" customHeight="1" x14ac:dyDescent="0.25">
      <c r="B26" s="53" t="str">
        <f t="shared" ca="1" si="0"/>
        <v>Finalizado</v>
      </c>
      <c r="C26" s="12" t="str">
        <f t="shared" ca="1" si="1"/>
        <v>Ok</v>
      </c>
      <c r="D26" s="2">
        <v>20</v>
      </c>
      <c r="E26" s="3" t="s">
        <v>233</v>
      </c>
      <c r="F26" s="25" t="s">
        <v>66</v>
      </c>
      <c r="G26" s="25" t="s">
        <v>197</v>
      </c>
      <c r="H26" s="4" t="s">
        <v>234</v>
      </c>
      <c r="I26" s="25">
        <v>7</v>
      </c>
      <c r="J26" s="28">
        <v>45576</v>
      </c>
      <c r="K26" s="6">
        <v>45583</v>
      </c>
      <c r="L26" s="9">
        <f>COUNTA([1]Equalizações!S27:Y27)</f>
        <v>7</v>
      </c>
      <c r="M26" s="24">
        <v>45603</v>
      </c>
      <c r="N26" s="28" t="s">
        <v>227</v>
      </c>
      <c r="O26" s="6" t="s">
        <v>218</v>
      </c>
      <c r="P26" s="6" t="s">
        <v>220</v>
      </c>
      <c r="Q26" s="24" t="s">
        <v>235</v>
      </c>
      <c r="R26" s="7" t="s">
        <v>236</v>
      </c>
      <c r="S26" s="7" t="s">
        <v>237</v>
      </c>
      <c r="T26" s="24" t="s">
        <v>238</v>
      </c>
      <c r="U26" s="7"/>
      <c r="V26" s="28" t="s">
        <v>239</v>
      </c>
      <c r="W26" s="29" t="s">
        <v>240</v>
      </c>
      <c r="X26" s="58" t="s">
        <v>75</v>
      </c>
    </row>
    <row r="27" spans="1:24" ht="27" hidden="1" customHeight="1" x14ac:dyDescent="0.25">
      <c r="A27" t="s">
        <v>64</v>
      </c>
      <c r="B27" s="53" t="str">
        <f t="shared" ca="1" si="0"/>
        <v>Finalizado</v>
      </c>
      <c r="C27" s="12" t="str">
        <f t="shared" ca="1" si="1"/>
        <v>Ok</v>
      </c>
      <c r="D27" s="2">
        <v>25</v>
      </c>
      <c r="E27" s="3" t="s">
        <v>241</v>
      </c>
      <c r="F27" s="25" t="s">
        <v>97</v>
      </c>
      <c r="G27" s="25" t="s">
        <v>225</v>
      </c>
      <c r="H27" s="4" t="s">
        <v>242</v>
      </c>
      <c r="I27" s="25">
        <v>7</v>
      </c>
      <c r="J27" s="28">
        <v>45580</v>
      </c>
      <c r="K27" s="6">
        <v>45583</v>
      </c>
      <c r="L27" s="9">
        <f>COUNTA([1]Equalizações!S29:Y29)</f>
        <v>7</v>
      </c>
      <c r="M27" s="24">
        <v>45603</v>
      </c>
      <c r="N27" s="28" t="s">
        <v>227</v>
      </c>
      <c r="O27" s="6" t="s">
        <v>219</v>
      </c>
      <c r="P27" s="6" t="s">
        <v>220</v>
      </c>
      <c r="Q27" s="28" t="s">
        <v>228</v>
      </c>
      <c r="R27" s="28" t="s">
        <v>243</v>
      </c>
      <c r="S27" s="6" t="s">
        <v>218</v>
      </c>
      <c r="T27" s="7" t="s">
        <v>229</v>
      </c>
      <c r="U27" s="7"/>
      <c r="V27" s="28" t="s">
        <v>219</v>
      </c>
      <c r="W27" s="29" t="s">
        <v>244</v>
      </c>
      <c r="X27" s="58" t="s">
        <v>75</v>
      </c>
    </row>
    <row r="28" spans="1:24" ht="27" hidden="1" customHeight="1" x14ac:dyDescent="0.25">
      <c r="A28" t="s">
        <v>64</v>
      </c>
      <c r="B28" s="53" t="str">
        <f t="shared" ca="1" si="0"/>
        <v>Finalizado</v>
      </c>
      <c r="C28" s="12" t="str">
        <f t="shared" ca="1" si="1"/>
        <v>Ok</v>
      </c>
      <c r="D28" s="2">
        <v>29</v>
      </c>
      <c r="E28" s="3" t="s">
        <v>245</v>
      </c>
      <c r="F28" s="25" t="s">
        <v>66</v>
      </c>
      <c r="G28" s="25" t="s">
        <v>246</v>
      </c>
      <c r="H28" s="4" t="s">
        <v>247</v>
      </c>
      <c r="I28" s="25">
        <v>4</v>
      </c>
      <c r="J28" s="28">
        <v>45583</v>
      </c>
      <c r="K28" s="6">
        <v>45590</v>
      </c>
      <c r="L28" s="9">
        <f>COUNTA([1]Equalizações!S24:Y24)</f>
        <v>7</v>
      </c>
      <c r="M28" s="28">
        <v>45602</v>
      </c>
      <c r="N28" s="28" t="s">
        <v>248</v>
      </c>
      <c r="O28" s="6" t="s">
        <v>249</v>
      </c>
      <c r="P28" s="6" t="s">
        <v>250</v>
      </c>
      <c r="Q28" s="28" t="s">
        <v>251</v>
      </c>
      <c r="R28" s="28"/>
      <c r="S28" s="6"/>
      <c r="T28" s="6"/>
      <c r="U28" s="7"/>
      <c r="V28" s="28" t="s">
        <v>251</v>
      </c>
      <c r="W28" s="29">
        <v>1125</v>
      </c>
      <c r="X28" s="58" t="s">
        <v>75</v>
      </c>
    </row>
    <row r="29" spans="1:24" ht="27" hidden="1" customHeight="1" x14ac:dyDescent="0.25">
      <c r="B29" s="53" t="str">
        <f t="shared" ca="1" si="0"/>
        <v>Finalizado</v>
      </c>
      <c r="C29" s="12" t="str">
        <f t="shared" ca="1" si="1"/>
        <v>Ok</v>
      </c>
      <c r="D29" s="2">
        <v>33</v>
      </c>
      <c r="E29" s="3" t="s">
        <v>252</v>
      </c>
      <c r="F29" s="25" t="s">
        <v>97</v>
      </c>
      <c r="G29" s="25" t="s">
        <v>253</v>
      </c>
      <c r="H29" s="4" t="s">
        <v>254</v>
      </c>
      <c r="I29" s="25">
        <v>7</v>
      </c>
      <c r="J29" s="28">
        <v>45583</v>
      </c>
      <c r="K29" s="6">
        <v>45590</v>
      </c>
      <c r="L29" s="9">
        <f>COUNTA([1]Equalizações!S30:Y30)</f>
        <v>3</v>
      </c>
      <c r="M29" s="28">
        <v>45603</v>
      </c>
      <c r="N29" s="28" t="s">
        <v>255</v>
      </c>
      <c r="O29" s="6" t="s">
        <v>256</v>
      </c>
      <c r="P29" s="28" t="s">
        <v>257</v>
      </c>
      <c r="Q29" s="28" t="s">
        <v>177</v>
      </c>
      <c r="R29" s="24" t="s">
        <v>258</v>
      </c>
      <c r="S29" s="7" t="s">
        <v>259</v>
      </c>
      <c r="T29" s="7" t="s">
        <v>260</v>
      </c>
      <c r="U29" s="7"/>
      <c r="V29" s="28" t="s">
        <v>261</v>
      </c>
      <c r="W29" s="29" t="s">
        <v>262</v>
      </c>
      <c r="X29" s="58" t="s">
        <v>75</v>
      </c>
    </row>
    <row r="30" spans="1:24" ht="27" hidden="1" customHeight="1" x14ac:dyDescent="0.25">
      <c r="A30" t="s">
        <v>64</v>
      </c>
      <c r="B30" s="53" t="str">
        <f t="shared" ca="1" si="0"/>
        <v>Finalizado</v>
      </c>
      <c r="C30" s="12" t="str">
        <f t="shared" ca="1" si="1"/>
        <v>Ok</v>
      </c>
      <c r="D30" s="2">
        <v>28</v>
      </c>
      <c r="E30" s="3" t="s">
        <v>263</v>
      </c>
      <c r="F30" s="25" t="s">
        <v>66</v>
      </c>
      <c r="G30" s="25" t="s">
        <v>246</v>
      </c>
      <c r="H30" s="4" t="s">
        <v>264</v>
      </c>
      <c r="I30" s="25">
        <v>4</v>
      </c>
      <c r="J30" s="28">
        <v>45583</v>
      </c>
      <c r="K30" s="6">
        <v>45590</v>
      </c>
      <c r="L30" s="9">
        <f>COUNTA([1]Equalizações!S31:Y31)</f>
        <v>7</v>
      </c>
      <c r="M30" s="24">
        <v>45603</v>
      </c>
      <c r="N30" s="24" t="s">
        <v>249</v>
      </c>
      <c r="O30" s="7" t="s">
        <v>250</v>
      </c>
      <c r="P30" s="6" t="s">
        <v>251</v>
      </c>
      <c r="Q30" s="24" t="s">
        <v>265</v>
      </c>
      <c r="R30" s="28"/>
      <c r="S30" s="6"/>
      <c r="T30" s="6"/>
      <c r="U30" s="7"/>
      <c r="V30" s="28" t="s">
        <v>251</v>
      </c>
      <c r="W30" s="29">
        <v>1064</v>
      </c>
      <c r="X30" s="58" t="s">
        <v>75</v>
      </c>
    </row>
    <row r="31" spans="1:24" ht="27" hidden="1" customHeight="1" x14ac:dyDescent="0.25">
      <c r="B31" s="53" t="str">
        <f t="shared" ca="1" si="0"/>
        <v>Finalizado</v>
      </c>
      <c r="C31" s="12" t="str">
        <f t="shared" ca="1" si="1"/>
        <v>Ok</v>
      </c>
      <c r="D31" s="2">
        <v>34</v>
      </c>
      <c r="E31" s="3" t="s">
        <v>266</v>
      </c>
      <c r="F31" s="25" t="s">
        <v>66</v>
      </c>
      <c r="G31" s="25" t="s">
        <v>246</v>
      </c>
      <c r="H31" s="4" t="s">
        <v>267</v>
      </c>
      <c r="I31" s="25">
        <v>4</v>
      </c>
      <c r="J31" s="28">
        <v>45583</v>
      </c>
      <c r="K31" s="6">
        <v>45590</v>
      </c>
      <c r="L31" s="9">
        <f>COUNTA([1]Equalizações!S32:Y32)</f>
        <v>7</v>
      </c>
      <c r="M31" s="24">
        <v>45603</v>
      </c>
      <c r="N31" s="28" t="s">
        <v>268</v>
      </c>
      <c r="O31" s="6" t="s">
        <v>269</v>
      </c>
      <c r="P31" s="6" t="s">
        <v>270</v>
      </c>
      <c r="Q31" s="24" t="s">
        <v>265</v>
      </c>
      <c r="R31" s="28"/>
      <c r="S31" s="6"/>
      <c r="T31" s="6"/>
      <c r="U31" s="7"/>
      <c r="V31" s="28" t="s">
        <v>269</v>
      </c>
      <c r="W31" s="29">
        <v>564816</v>
      </c>
      <c r="X31" s="58" t="s">
        <v>75</v>
      </c>
    </row>
    <row r="32" spans="1:24" ht="27" hidden="1" customHeight="1" x14ac:dyDescent="0.25">
      <c r="A32" t="s">
        <v>215</v>
      </c>
      <c r="B32" s="53" t="str">
        <f t="shared" ca="1" si="0"/>
        <v>Comprador Negociando</v>
      </c>
      <c r="C32" s="12" t="str">
        <f t="shared" ca="1" si="1"/>
        <v>559 Dias</v>
      </c>
      <c r="D32" s="2">
        <v>37</v>
      </c>
      <c r="E32" s="3" t="s">
        <v>271</v>
      </c>
      <c r="F32" s="25" t="s">
        <v>97</v>
      </c>
      <c r="G32" s="25" t="s">
        <v>272</v>
      </c>
      <c r="H32" s="4" t="s">
        <v>273</v>
      </c>
      <c r="I32" s="25">
        <v>3</v>
      </c>
      <c r="J32" s="28">
        <v>45583</v>
      </c>
      <c r="K32" s="6">
        <v>45590</v>
      </c>
      <c r="L32" s="9">
        <f>COUNTA([1]Equalizações!S33:Y33)</f>
        <v>6</v>
      </c>
      <c r="M32" s="24">
        <v>45603</v>
      </c>
      <c r="N32" s="28" t="s">
        <v>274</v>
      </c>
      <c r="O32" s="6" t="s">
        <v>275</v>
      </c>
      <c r="P32" s="6" t="s">
        <v>276</v>
      </c>
      <c r="Q32" s="28"/>
      <c r="R32" s="28"/>
      <c r="S32" s="6"/>
      <c r="T32" s="6"/>
      <c r="U32" s="7"/>
      <c r="V32" s="28" t="s">
        <v>277</v>
      </c>
      <c r="W32" s="29" t="s">
        <v>278</v>
      </c>
      <c r="X32" s="58"/>
    </row>
    <row r="33" spans="1:24" ht="27" hidden="1" customHeight="1" x14ac:dyDescent="0.25">
      <c r="B33" s="53" t="str">
        <f t="shared" ca="1" si="0"/>
        <v>Comprador Negociando</v>
      </c>
      <c r="C33" s="12" t="str">
        <f t="shared" ca="1" si="1"/>
        <v>558 Dias</v>
      </c>
      <c r="D33" s="2">
        <v>36</v>
      </c>
      <c r="E33" s="3" t="s">
        <v>279</v>
      </c>
      <c r="F33" s="25" t="s">
        <v>97</v>
      </c>
      <c r="G33" s="25" t="s">
        <v>272</v>
      </c>
      <c r="H33" s="4" t="s">
        <v>280</v>
      </c>
      <c r="I33" s="25">
        <v>5</v>
      </c>
      <c r="J33" s="28">
        <v>45583</v>
      </c>
      <c r="K33" s="6">
        <v>45590</v>
      </c>
      <c r="L33" s="9">
        <f>COUNTA([1]Equalizações!S37:Y37)</f>
        <v>7</v>
      </c>
      <c r="M33" s="24">
        <v>45604</v>
      </c>
      <c r="N33" s="28" t="s">
        <v>281</v>
      </c>
      <c r="O33" s="6" t="s">
        <v>282</v>
      </c>
      <c r="P33" s="6" t="s">
        <v>283</v>
      </c>
      <c r="Q33" s="28" t="s">
        <v>284</v>
      </c>
      <c r="R33" s="28" t="s">
        <v>285</v>
      </c>
      <c r="S33" s="6"/>
      <c r="T33" s="6"/>
      <c r="U33" s="7" t="s">
        <v>286</v>
      </c>
      <c r="V33" s="28" t="s">
        <v>284</v>
      </c>
      <c r="W33" s="29" t="s">
        <v>287</v>
      </c>
      <c r="X33" s="58"/>
    </row>
    <row r="34" spans="1:24" ht="27" hidden="1" customHeight="1" x14ac:dyDescent="0.25">
      <c r="A34" t="s">
        <v>64</v>
      </c>
      <c r="B34" s="53" t="str">
        <f t="shared" ca="1" si="0"/>
        <v>Finalizado</v>
      </c>
      <c r="C34" s="12" t="str">
        <f t="shared" ca="1" si="1"/>
        <v>Ok</v>
      </c>
      <c r="D34" s="2">
        <v>27</v>
      </c>
      <c r="E34" s="3" t="s">
        <v>288</v>
      </c>
      <c r="F34" s="25" t="s">
        <v>97</v>
      </c>
      <c r="G34" s="25" t="s">
        <v>289</v>
      </c>
      <c r="H34" s="4" t="s">
        <v>290</v>
      </c>
      <c r="I34" s="25">
        <v>5</v>
      </c>
      <c r="J34" s="28">
        <v>45579</v>
      </c>
      <c r="K34" s="6">
        <v>45593</v>
      </c>
      <c r="L34" s="9">
        <f>COUNTA([1]Equalizações!S34:Y34)</f>
        <v>6</v>
      </c>
      <c r="M34" s="28">
        <v>45603</v>
      </c>
      <c r="N34" s="28" t="s">
        <v>291</v>
      </c>
      <c r="O34" s="6" t="s">
        <v>292</v>
      </c>
      <c r="P34" s="7" t="s">
        <v>177</v>
      </c>
      <c r="Q34" s="24" t="s">
        <v>256</v>
      </c>
      <c r="R34" s="28" t="s">
        <v>293</v>
      </c>
      <c r="S34" s="6"/>
      <c r="T34" s="6"/>
      <c r="U34" s="7"/>
      <c r="V34" s="28" t="s">
        <v>294</v>
      </c>
      <c r="W34" s="29" t="s">
        <v>295</v>
      </c>
      <c r="X34" s="58" t="s">
        <v>75</v>
      </c>
    </row>
    <row r="35" spans="1:24" ht="27" hidden="1" customHeight="1" x14ac:dyDescent="0.25">
      <c r="A35" t="s">
        <v>64</v>
      </c>
      <c r="B35" s="53" t="str">
        <f t="shared" ca="1" si="0"/>
        <v>Finalizado</v>
      </c>
      <c r="C35" s="12" t="str">
        <f t="shared" ca="1" si="1"/>
        <v>Ok</v>
      </c>
      <c r="D35" s="2">
        <v>32</v>
      </c>
      <c r="E35" s="3" t="s">
        <v>296</v>
      </c>
      <c r="F35" s="25" t="s">
        <v>87</v>
      </c>
      <c r="G35" s="25" t="s">
        <v>197</v>
      </c>
      <c r="H35" s="4" t="s">
        <v>297</v>
      </c>
      <c r="I35" s="25">
        <v>3</v>
      </c>
      <c r="J35" s="28">
        <v>45586</v>
      </c>
      <c r="K35" s="6">
        <v>45595</v>
      </c>
      <c r="L35" s="9">
        <f>COUNTA([1]Equalizações!S18:Y18)</f>
        <v>7</v>
      </c>
      <c r="M35" s="24">
        <v>45610</v>
      </c>
      <c r="N35" s="24" t="s">
        <v>298</v>
      </c>
      <c r="O35" s="24" t="s">
        <v>299</v>
      </c>
      <c r="P35" s="6" t="s">
        <v>300</v>
      </c>
      <c r="Q35" s="28"/>
      <c r="R35" s="28"/>
      <c r="S35" s="6"/>
      <c r="T35" s="6"/>
      <c r="U35" s="7" t="s">
        <v>301</v>
      </c>
      <c r="V35" s="28" t="s">
        <v>300</v>
      </c>
      <c r="W35" s="29" t="s">
        <v>302</v>
      </c>
      <c r="X35" s="58" t="s">
        <v>75</v>
      </c>
    </row>
    <row r="36" spans="1:24" ht="27" hidden="1" customHeight="1" x14ac:dyDescent="0.25">
      <c r="B36" s="53" t="str">
        <f t="shared" ca="1" si="0"/>
        <v>Finalizado</v>
      </c>
      <c r="C36" s="12" t="str">
        <f t="shared" ca="1" si="1"/>
        <v>Ok</v>
      </c>
      <c r="D36" s="2">
        <v>35</v>
      </c>
      <c r="E36" s="3" t="s">
        <v>303</v>
      </c>
      <c r="F36" s="25" t="s">
        <v>87</v>
      </c>
      <c r="G36" s="25" t="s">
        <v>225</v>
      </c>
      <c r="H36" s="4" t="s">
        <v>304</v>
      </c>
      <c r="I36" s="25">
        <v>7</v>
      </c>
      <c r="J36" s="28">
        <v>45586</v>
      </c>
      <c r="K36" s="6">
        <v>45595</v>
      </c>
      <c r="L36" s="9">
        <f>COUNTA([1]Equalizações!S35:Y35)</f>
        <v>5</v>
      </c>
      <c r="M36" s="28">
        <v>45603</v>
      </c>
      <c r="N36" s="24" t="s">
        <v>305</v>
      </c>
      <c r="O36" s="6" t="s">
        <v>306</v>
      </c>
      <c r="P36" s="6" t="s">
        <v>307</v>
      </c>
      <c r="Q36" s="28" t="s">
        <v>99</v>
      </c>
      <c r="R36" s="28" t="s">
        <v>101</v>
      </c>
      <c r="S36" s="6" t="s">
        <v>91</v>
      </c>
      <c r="T36" s="7" t="s">
        <v>308</v>
      </c>
      <c r="U36" s="7"/>
      <c r="V36" s="28" t="s">
        <v>91</v>
      </c>
      <c r="W36" s="29" t="s">
        <v>309</v>
      </c>
      <c r="X36" s="58" t="s">
        <v>75</v>
      </c>
    </row>
    <row r="37" spans="1:24" ht="27" hidden="1" customHeight="1" x14ac:dyDescent="0.25">
      <c r="B37" s="53" t="str">
        <f t="shared" ref="B37:B68" ca="1" si="2">IF($X37&lt;&gt;"","Finalizado",IF($O37&lt;&gt;"","Comprador Negociando",IF($M37&gt;=TODAY(),"Aguardando Retorno Fornecedores","Prazo de Retorno Vencido")))</f>
        <v>Finalizado</v>
      </c>
      <c r="C37" s="12" t="str">
        <f t="shared" ref="C37:C68" ca="1" si="3">IF(B37="Finalizado","Ok",IF(IF(M37="",_xlfn.DAYS(TODAY(),J37),_xlfn.DAYS(TODAY(),M37))&gt;1,IF(M37="",_xlfn.DAYS(TODAY(),J37),_xlfn.DAYS(TODAY(),M37))&amp;" Dias",IF(M37="",_xlfn.DAYS(TODAY(),J37),_xlfn.DAYS(TODAY(),M37))&amp;" Dia"))</f>
        <v>Ok</v>
      </c>
      <c r="D37" s="2">
        <v>31</v>
      </c>
      <c r="E37" s="3" t="s">
        <v>310</v>
      </c>
      <c r="F37" s="25" t="s">
        <v>87</v>
      </c>
      <c r="G37" s="25" t="s">
        <v>197</v>
      </c>
      <c r="H37" s="4" t="s">
        <v>311</v>
      </c>
      <c r="I37" s="25">
        <v>3</v>
      </c>
      <c r="J37" s="28">
        <v>45586</v>
      </c>
      <c r="K37" s="6">
        <v>45595</v>
      </c>
      <c r="L37" s="9">
        <f>COUNTA([1]Equalizações!S38:Y38)</f>
        <v>6</v>
      </c>
      <c r="M37" s="24">
        <v>45604</v>
      </c>
      <c r="N37" s="28" t="s">
        <v>101</v>
      </c>
      <c r="O37" s="7" t="s">
        <v>312</v>
      </c>
      <c r="P37" s="6" t="s">
        <v>248</v>
      </c>
      <c r="Q37" s="28"/>
      <c r="R37" s="28"/>
      <c r="S37" s="6"/>
      <c r="T37" s="6"/>
      <c r="U37" s="7"/>
      <c r="V37" s="28" t="s">
        <v>101</v>
      </c>
      <c r="W37" s="29" t="s">
        <v>313</v>
      </c>
      <c r="X37" s="58" t="s">
        <v>75</v>
      </c>
    </row>
    <row r="38" spans="1:24" ht="27" customHeight="1" x14ac:dyDescent="0.25">
      <c r="A38" t="s">
        <v>64</v>
      </c>
      <c r="B38" s="53" t="str">
        <f t="shared" ca="1" si="2"/>
        <v>Finalizado</v>
      </c>
      <c r="C38" s="12" t="str">
        <f t="shared" ca="1" si="3"/>
        <v>Ok</v>
      </c>
      <c r="D38" s="2">
        <v>48</v>
      </c>
      <c r="E38" s="3" t="s">
        <v>314</v>
      </c>
      <c r="F38" s="25" t="s">
        <v>87</v>
      </c>
      <c r="G38" s="25" t="s">
        <v>253</v>
      </c>
      <c r="H38" s="4" t="s">
        <v>315</v>
      </c>
      <c r="I38" s="25">
        <v>3</v>
      </c>
      <c r="J38" s="28">
        <v>45600</v>
      </c>
      <c r="K38" s="6">
        <v>45600</v>
      </c>
      <c r="L38" s="9">
        <f>COUNTA([1]Equalizações!S23:Y23)</f>
        <v>3</v>
      </c>
      <c r="M38" s="28">
        <v>45600</v>
      </c>
      <c r="N38" s="28" t="s">
        <v>316</v>
      </c>
      <c r="O38" s="6" t="s">
        <v>317</v>
      </c>
      <c r="P38" s="6" t="s">
        <v>261</v>
      </c>
      <c r="Q38" s="28"/>
      <c r="R38" s="28"/>
      <c r="S38" s="6"/>
      <c r="T38" s="6"/>
      <c r="U38" s="7"/>
      <c r="V38" s="28" t="s">
        <v>318</v>
      </c>
      <c r="W38" s="29">
        <v>564848</v>
      </c>
      <c r="X38" s="58" t="s">
        <v>75</v>
      </c>
    </row>
    <row r="39" spans="1:24" ht="27" hidden="1" customHeight="1" x14ac:dyDescent="0.25">
      <c r="B39" s="53" t="str">
        <f t="shared" ca="1" si="2"/>
        <v>Finalizado</v>
      </c>
      <c r="C39" s="12" t="str">
        <f t="shared" ca="1" si="3"/>
        <v>Ok</v>
      </c>
      <c r="D39" s="2">
        <v>38</v>
      </c>
      <c r="E39" s="3" t="s">
        <v>319</v>
      </c>
      <c r="F39" s="25" t="s">
        <v>66</v>
      </c>
      <c r="G39" s="25" t="s">
        <v>320</v>
      </c>
      <c r="H39" s="4" t="s">
        <v>321</v>
      </c>
      <c r="I39" s="25">
        <v>4</v>
      </c>
      <c r="J39" s="28">
        <v>45593</v>
      </c>
      <c r="K39" s="6">
        <v>45607</v>
      </c>
      <c r="L39" s="9">
        <f>COUNTA([1]Equalizações!S41:Y41)</f>
        <v>3</v>
      </c>
      <c r="M39" s="28">
        <v>45639</v>
      </c>
      <c r="N39" s="24" t="s">
        <v>322</v>
      </c>
      <c r="O39" s="6" t="s">
        <v>323</v>
      </c>
      <c r="P39" s="6" t="s">
        <v>324</v>
      </c>
      <c r="Q39" s="28"/>
      <c r="R39" s="28"/>
      <c r="S39" s="6"/>
      <c r="T39" s="6"/>
      <c r="U39" s="7"/>
      <c r="V39" s="28" t="s">
        <v>322</v>
      </c>
      <c r="W39" s="29" t="s">
        <v>325</v>
      </c>
      <c r="X39" s="58" t="s">
        <v>75</v>
      </c>
    </row>
    <row r="40" spans="1:24" ht="27" hidden="1" customHeight="1" x14ac:dyDescent="0.25">
      <c r="B40" s="53" t="str">
        <f t="shared" ca="1" si="2"/>
        <v>Finalizado</v>
      </c>
      <c r="C40" s="12" t="str">
        <f t="shared" ca="1" si="3"/>
        <v>Ok</v>
      </c>
      <c r="D40" s="2">
        <v>39</v>
      </c>
      <c r="E40" s="3" t="s">
        <v>326</v>
      </c>
      <c r="F40" s="25" t="s">
        <v>87</v>
      </c>
      <c r="G40" s="25" t="s">
        <v>225</v>
      </c>
      <c r="H40" s="4" t="s">
        <v>327</v>
      </c>
      <c r="I40" s="25">
        <v>4</v>
      </c>
      <c r="J40" s="28">
        <v>45597</v>
      </c>
      <c r="K40" s="6">
        <v>45607</v>
      </c>
      <c r="L40" s="9">
        <f>COUNTA([1]Equalizações!S42:Y42)</f>
        <v>7</v>
      </c>
      <c r="M40" s="28">
        <v>45635</v>
      </c>
      <c r="N40" s="24" t="s">
        <v>328</v>
      </c>
      <c r="O40" s="7" t="s">
        <v>329</v>
      </c>
      <c r="P40" s="7" t="s">
        <v>330</v>
      </c>
      <c r="Q40" s="7" t="s">
        <v>331</v>
      </c>
      <c r="R40" s="28"/>
      <c r="S40" s="6"/>
      <c r="T40" s="6"/>
      <c r="U40" s="7" t="s">
        <v>332</v>
      </c>
      <c r="V40" s="28" t="s">
        <v>333</v>
      </c>
      <c r="W40" s="29" t="s">
        <v>334</v>
      </c>
      <c r="X40" s="58" t="s">
        <v>75</v>
      </c>
    </row>
    <row r="41" spans="1:24" ht="27" hidden="1" customHeight="1" x14ac:dyDescent="0.25">
      <c r="A41" t="s">
        <v>64</v>
      </c>
      <c r="B41" s="53" t="str">
        <f t="shared" ca="1" si="2"/>
        <v>Comprador Negociando</v>
      </c>
      <c r="C41" s="12" t="str">
        <f t="shared" ca="1" si="3"/>
        <v>527 Dias</v>
      </c>
      <c r="D41" s="2">
        <v>6</v>
      </c>
      <c r="E41" s="3" t="s">
        <v>335</v>
      </c>
      <c r="F41" s="25" t="s">
        <v>97</v>
      </c>
      <c r="G41" s="25" t="s">
        <v>225</v>
      </c>
      <c r="H41" s="4" t="s">
        <v>336</v>
      </c>
      <c r="I41" s="25">
        <v>7</v>
      </c>
      <c r="J41" s="28">
        <v>45594</v>
      </c>
      <c r="K41" s="6">
        <v>45609</v>
      </c>
      <c r="L41" s="9">
        <f>COUNTA([1]Equalizações!S43:Y43)</f>
        <v>5</v>
      </c>
      <c r="M41" s="28">
        <v>45635</v>
      </c>
      <c r="N41" s="24" t="s">
        <v>337</v>
      </c>
      <c r="O41" s="6" t="s">
        <v>99</v>
      </c>
      <c r="P41" s="6" t="s">
        <v>91</v>
      </c>
      <c r="Q41" s="28" t="s">
        <v>101</v>
      </c>
      <c r="R41" s="28"/>
      <c r="S41" s="6"/>
      <c r="T41" s="6"/>
      <c r="U41" s="7" t="s">
        <v>338</v>
      </c>
      <c r="V41" s="28" t="s">
        <v>101</v>
      </c>
      <c r="W41" s="29"/>
      <c r="X41" s="58"/>
    </row>
    <row r="42" spans="1:24" ht="27" hidden="1" customHeight="1" x14ac:dyDescent="0.25">
      <c r="B42" s="53" t="str">
        <f t="shared" ca="1" si="2"/>
        <v>Comprador Negociando</v>
      </c>
      <c r="C42" s="12" t="str">
        <f t="shared" ca="1" si="3"/>
        <v>559 Dias</v>
      </c>
      <c r="D42" s="2">
        <v>40</v>
      </c>
      <c r="E42" s="3" t="s">
        <v>339</v>
      </c>
      <c r="F42" s="25" t="s">
        <v>66</v>
      </c>
      <c r="G42" s="25" t="s">
        <v>272</v>
      </c>
      <c r="H42" s="4" t="s">
        <v>340</v>
      </c>
      <c r="I42" s="25">
        <v>4</v>
      </c>
      <c r="J42" s="28">
        <v>45603</v>
      </c>
      <c r="K42" s="6">
        <v>45616</v>
      </c>
      <c r="L42" s="9">
        <f>COUNTA([1]Equalizações!S36:Y36)</f>
        <v>7</v>
      </c>
      <c r="M42" s="28">
        <v>45603</v>
      </c>
      <c r="N42" s="28" t="s">
        <v>341</v>
      </c>
      <c r="O42" s="6" t="s">
        <v>342</v>
      </c>
      <c r="P42" s="6" t="s">
        <v>343</v>
      </c>
      <c r="Q42" s="28" t="s">
        <v>344</v>
      </c>
      <c r="R42" s="28"/>
      <c r="S42" s="6"/>
      <c r="T42" s="6"/>
      <c r="U42" s="7"/>
      <c r="V42" s="28" t="s">
        <v>345</v>
      </c>
      <c r="W42" s="29" t="s">
        <v>346</v>
      </c>
      <c r="X42" s="58"/>
    </row>
    <row r="43" spans="1:24" ht="27" hidden="1" customHeight="1" x14ac:dyDescent="0.25">
      <c r="B43" s="53" t="str">
        <f t="shared" ca="1" si="2"/>
        <v>Finalizado</v>
      </c>
      <c r="C43" s="12" t="str">
        <f t="shared" ca="1" si="3"/>
        <v>Ok</v>
      </c>
      <c r="D43" s="2">
        <v>42</v>
      </c>
      <c r="E43" s="3" t="s">
        <v>347</v>
      </c>
      <c r="F43" s="25" t="s">
        <v>66</v>
      </c>
      <c r="G43" s="25" t="s">
        <v>197</v>
      </c>
      <c r="H43" s="4" t="s">
        <v>348</v>
      </c>
      <c r="I43" s="25">
        <v>7</v>
      </c>
      <c r="J43" s="28">
        <v>45608</v>
      </c>
      <c r="K43" s="6">
        <v>45617</v>
      </c>
      <c r="L43" s="9">
        <f>COUNTA([1]Equalizações!S44:Y44)</f>
        <v>6</v>
      </c>
      <c r="M43" s="28">
        <v>45644</v>
      </c>
      <c r="N43" s="28" t="s">
        <v>220</v>
      </c>
      <c r="O43" s="7" t="s">
        <v>349</v>
      </c>
      <c r="P43" s="6" t="s">
        <v>111</v>
      </c>
      <c r="Q43" s="24"/>
      <c r="R43" s="24"/>
      <c r="S43" s="6"/>
      <c r="T43" s="6"/>
      <c r="U43" s="7"/>
      <c r="V43" s="28" t="s">
        <v>350</v>
      </c>
      <c r="W43" s="29" t="s">
        <v>351</v>
      </c>
      <c r="X43" s="58" t="s">
        <v>75</v>
      </c>
    </row>
    <row r="44" spans="1:24" ht="27" hidden="1" customHeight="1" x14ac:dyDescent="0.25">
      <c r="A44" t="s">
        <v>64</v>
      </c>
      <c r="B44" s="53" t="str">
        <f t="shared" ca="1" si="2"/>
        <v>Finalizado</v>
      </c>
      <c r="C44" s="12" t="str">
        <f t="shared" ca="1" si="3"/>
        <v>Ok</v>
      </c>
      <c r="D44" s="2">
        <v>41</v>
      </c>
      <c r="E44" s="3" t="s">
        <v>352</v>
      </c>
      <c r="F44" s="25" t="s">
        <v>87</v>
      </c>
      <c r="G44" s="25" t="s">
        <v>225</v>
      </c>
      <c r="H44" s="4" t="s">
        <v>353</v>
      </c>
      <c r="I44" s="25">
        <v>4</v>
      </c>
      <c r="J44" s="28">
        <v>45604</v>
      </c>
      <c r="K44" s="6">
        <v>45618</v>
      </c>
      <c r="L44" s="9">
        <f>COUNTA([1]Equalizações!S45:Y45)</f>
        <v>6</v>
      </c>
      <c r="M44" s="28"/>
      <c r="N44" s="28" t="s">
        <v>354</v>
      </c>
      <c r="O44" s="6" t="s">
        <v>355</v>
      </c>
      <c r="P44" s="6"/>
      <c r="Q44" s="28"/>
      <c r="R44" s="28"/>
      <c r="S44" s="6"/>
      <c r="T44" s="6"/>
      <c r="U44" s="7" t="s">
        <v>356</v>
      </c>
      <c r="V44" s="28" t="s">
        <v>357</v>
      </c>
      <c r="W44" s="29">
        <v>564578</v>
      </c>
      <c r="X44" s="58" t="s">
        <v>75</v>
      </c>
    </row>
    <row r="45" spans="1:24" ht="27" hidden="1" customHeight="1" x14ac:dyDescent="0.25">
      <c r="B45" s="53" t="str">
        <f t="shared" ca="1" si="2"/>
        <v>Comprador Negociando</v>
      </c>
      <c r="C45" s="12" t="str">
        <f t="shared" ca="1" si="3"/>
        <v>484 Dias</v>
      </c>
      <c r="D45" s="2">
        <v>43</v>
      </c>
      <c r="E45" s="3" t="s">
        <v>358</v>
      </c>
      <c r="F45" s="25" t="s">
        <v>66</v>
      </c>
      <c r="G45" s="25" t="s">
        <v>197</v>
      </c>
      <c r="H45" s="4" t="s">
        <v>348</v>
      </c>
      <c r="I45" s="25">
        <v>7</v>
      </c>
      <c r="J45" s="28">
        <v>45608</v>
      </c>
      <c r="K45" s="6">
        <v>45618</v>
      </c>
      <c r="L45" s="9">
        <f>COUNTA([1]Equalizações!S67:Y67)</f>
        <v>5</v>
      </c>
      <c r="M45" s="28">
        <v>45678</v>
      </c>
      <c r="N45" s="24" t="s">
        <v>221</v>
      </c>
      <c r="O45" s="6" t="s">
        <v>220</v>
      </c>
      <c r="P45" s="6" t="s">
        <v>219</v>
      </c>
      <c r="Q45" s="28"/>
      <c r="R45" s="28"/>
      <c r="S45" s="52"/>
      <c r="T45" s="6"/>
      <c r="U45" s="7" t="s">
        <v>359</v>
      </c>
      <c r="V45" s="28" t="s">
        <v>220</v>
      </c>
      <c r="W45" s="29">
        <v>565916</v>
      </c>
      <c r="X45" s="58"/>
    </row>
    <row r="46" spans="1:24" ht="27" hidden="1" customHeight="1" x14ac:dyDescent="0.25">
      <c r="A46" t="s">
        <v>64</v>
      </c>
      <c r="B46" s="55" t="str">
        <f t="shared" ca="1" si="2"/>
        <v>Finalizado</v>
      </c>
      <c r="C46" s="12" t="str">
        <f t="shared" ca="1" si="3"/>
        <v>Ok</v>
      </c>
      <c r="D46" s="31">
        <v>44</v>
      </c>
      <c r="E46" s="32" t="s">
        <v>360</v>
      </c>
      <c r="F46" s="33" t="s">
        <v>87</v>
      </c>
      <c r="G46" s="33" t="s">
        <v>246</v>
      </c>
      <c r="H46" s="34" t="s">
        <v>361</v>
      </c>
      <c r="I46" s="33">
        <v>4</v>
      </c>
      <c r="J46" s="35">
        <v>45608</v>
      </c>
      <c r="K46" s="36">
        <v>45621</v>
      </c>
      <c r="L46" s="37">
        <f>COUNTA([1]Equalizações!S46:Y46)</f>
        <v>5</v>
      </c>
      <c r="M46" s="35">
        <v>45635</v>
      </c>
      <c r="N46" s="35" t="s">
        <v>362</v>
      </c>
      <c r="O46" s="30" t="s">
        <v>363</v>
      </c>
      <c r="P46" s="36" t="s">
        <v>364</v>
      </c>
      <c r="Q46" s="35"/>
      <c r="R46" s="35"/>
      <c r="S46" s="36"/>
      <c r="T46" s="36"/>
      <c r="U46" s="30"/>
      <c r="V46" s="35" t="s">
        <v>365</v>
      </c>
      <c r="W46" s="38" t="s">
        <v>366</v>
      </c>
      <c r="X46" s="61" t="s">
        <v>75</v>
      </c>
    </row>
    <row r="47" spans="1:24" ht="27" hidden="1" customHeight="1" x14ac:dyDescent="0.25">
      <c r="B47" s="53" t="str">
        <f t="shared" ca="1" si="2"/>
        <v>Finalizado</v>
      </c>
      <c r="C47" s="12" t="str">
        <f t="shared" ca="1" si="3"/>
        <v>Ok</v>
      </c>
      <c r="D47" s="2">
        <v>46</v>
      </c>
      <c r="E47" s="3" t="s">
        <v>367</v>
      </c>
      <c r="F47" s="25"/>
      <c r="G47" s="25" t="s">
        <v>272</v>
      </c>
      <c r="H47" s="4" t="s">
        <v>368</v>
      </c>
      <c r="I47" s="25">
        <v>2</v>
      </c>
      <c r="J47" s="28">
        <v>45609</v>
      </c>
      <c r="K47" s="6">
        <v>45621</v>
      </c>
      <c r="L47" s="9">
        <f>COUNTA([1]Equalizações!S47:Y47)</f>
        <v>3</v>
      </c>
      <c r="M47" s="28"/>
      <c r="N47" s="28" t="s">
        <v>369</v>
      </c>
      <c r="O47" s="6"/>
      <c r="P47" s="6"/>
      <c r="Q47" s="28"/>
      <c r="R47" s="28"/>
      <c r="S47" s="6"/>
      <c r="T47" s="6"/>
      <c r="U47" s="7" t="s">
        <v>356</v>
      </c>
      <c r="V47" s="28" t="s">
        <v>369</v>
      </c>
      <c r="W47" s="29">
        <v>564738</v>
      </c>
      <c r="X47" s="58" t="s">
        <v>75</v>
      </c>
    </row>
    <row r="48" spans="1:24" ht="27" hidden="1" customHeight="1" x14ac:dyDescent="0.25">
      <c r="B48" s="53" t="str">
        <f t="shared" ca="1" si="2"/>
        <v>Comprador Negociando</v>
      </c>
      <c r="C48" s="12" t="str">
        <f t="shared" ca="1" si="3"/>
        <v>520 Dias</v>
      </c>
      <c r="D48" s="2">
        <v>47</v>
      </c>
      <c r="E48" s="3" t="s">
        <v>370</v>
      </c>
      <c r="F48" s="25" t="s">
        <v>66</v>
      </c>
      <c r="G48" s="25" t="s">
        <v>246</v>
      </c>
      <c r="H48" s="4" t="s">
        <v>371</v>
      </c>
      <c r="I48" s="25">
        <v>4</v>
      </c>
      <c r="J48" s="28">
        <v>45609</v>
      </c>
      <c r="K48" s="6">
        <v>45621</v>
      </c>
      <c r="L48" s="9">
        <f>COUNTA([1]Equalizações!S48:Y48)</f>
        <v>5</v>
      </c>
      <c r="M48" s="28">
        <v>45642</v>
      </c>
      <c r="N48" s="24" t="s">
        <v>268</v>
      </c>
      <c r="O48" s="7" t="s">
        <v>372</v>
      </c>
      <c r="P48" s="6" t="s">
        <v>373</v>
      </c>
      <c r="Q48" s="28"/>
      <c r="R48" s="28"/>
      <c r="S48" s="6"/>
      <c r="T48" s="6"/>
      <c r="U48" s="7"/>
      <c r="V48" s="28" t="s">
        <v>373</v>
      </c>
      <c r="W48" s="29" t="s">
        <v>374</v>
      </c>
      <c r="X48" s="58"/>
    </row>
    <row r="49" spans="1:24" ht="27" hidden="1" customHeight="1" x14ac:dyDescent="0.25">
      <c r="B49" s="53" t="str">
        <f t="shared" ca="1" si="2"/>
        <v>Finalizado</v>
      </c>
      <c r="C49" s="12" t="str">
        <f t="shared" ca="1" si="3"/>
        <v>Ok</v>
      </c>
      <c r="D49" s="2">
        <v>30</v>
      </c>
      <c r="E49" s="3" t="s">
        <v>375</v>
      </c>
      <c r="F49" s="25" t="s">
        <v>66</v>
      </c>
      <c r="G49" s="25" t="s">
        <v>197</v>
      </c>
      <c r="H49" s="4" t="s">
        <v>376</v>
      </c>
      <c r="I49" s="25">
        <v>7</v>
      </c>
      <c r="J49" s="28">
        <v>45586</v>
      </c>
      <c r="K49" s="6">
        <v>45626</v>
      </c>
      <c r="L49" s="9">
        <f>COUNTA([1]Equalizações!S40:Y40)</f>
        <v>5</v>
      </c>
      <c r="M49" s="24">
        <v>45625</v>
      </c>
      <c r="N49" s="28" t="s">
        <v>200</v>
      </c>
      <c r="O49" s="7" t="s">
        <v>377</v>
      </c>
      <c r="P49" s="7" t="s">
        <v>201</v>
      </c>
      <c r="Q49" s="24" t="s">
        <v>378</v>
      </c>
      <c r="R49" s="28" t="s">
        <v>379</v>
      </c>
      <c r="S49" s="7" t="s">
        <v>380</v>
      </c>
      <c r="T49" s="7" t="s">
        <v>381</v>
      </c>
      <c r="U49" s="7"/>
      <c r="V49" s="28" t="s">
        <v>220</v>
      </c>
      <c r="W49" s="29" t="s">
        <v>382</v>
      </c>
      <c r="X49" s="58" t="s">
        <v>75</v>
      </c>
    </row>
    <row r="50" spans="1:24" ht="27" hidden="1" customHeight="1" x14ac:dyDescent="0.25">
      <c r="A50" t="s">
        <v>64</v>
      </c>
      <c r="B50" s="53" t="str">
        <f t="shared" ca="1" si="2"/>
        <v>Finalizado</v>
      </c>
      <c r="C50" s="12" t="str">
        <f t="shared" ca="1" si="3"/>
        <v>Ok</v>
      </c>
      <c r="D50" s="2">
        <v>52</v>
      </c>
      <c r="E50" s="3" t="s">
        <v>383</v>
      </c>
      <c r="F50" s="25" t="s">
        <v>66</v>
      </c>
      <c r="G50" s="25" t="s">
        <v>197</v>
      </c>
      <c r="H50" s="4" t="s">
        <v>384</v>
      </c>
      <c r="I50" s="25">
        <v>1</v>
      </c>
      <c r="J50" s="28">
        <v>45618</v>
      </c>
      <c r="K50" s="6">
        <v>45630</v>
      </c>
      <c r="L50" s="9">
        <f>COUNTA([1]Equalizações!S39:Y39)</f>
        <v>7</v>
      </c>
      <c r="M50" s="28">
        <v>45623</v>
      </c>
      <c r="N50" s="28" t="s">
        <v>385</v>
      </c>
      <c r="O50" s="6"/>
      <c r="P50" s="6"/>
      <c r="Q50" s="28"/>
      <c r="R50" s="28"/>
      <c r="S50" s="6"/>
      <c r="T50" s="6"/>
      <c r="U50" s="7"/>
      <c r="V50" s="28" t="s">
        <v>386</v>
      </c>
      <c r="W50" s="29" t="s">
        <v>387</v>
      </c>
      <c r="X50" s="58" t="s">
        <v>75</v>
      </c>
    </row>
    <row r="51" spans="1:24" ht="27" hidden="1" customHeight="1" x14ac:dyDescent="0.25">
      <c r="A51" t="s">
        <v>64</v>
      </c>
      <c r="B51" s="53" t="str">
        <f t="shared" ca="1" si="2"/>
        <v>Finalizado</v>
      </c>
      <c r="C51" s="12" t="str">
        <f t="shared" ca="1" si="3"/>
        <v>Ok</v>
      </c>
      <c r="D51" s="2">
        <v>51</v>
      </c>
      <c r="E51" s="3" t="s">
        <v>388</v>
      </c>
      <c r="F51" s="25" t="s">
        <v>87</v>
      </c>
      <c r="G51" s="25" t="s">
        <v>246</v>
      </c>
      <c r="H51" s="4" t="s">
        <v>361</v>
      </c>
      <c r="I51" s="25">
        <v>4</v>
      </c>
      <c r="J51" s="28">
        <v>45617</v>
      </c>
      <c r="K51" s="6">
        <v>45630</v>
      </c>
      <c r="L51" s="9">
        <f>COUNTA([1]Equalizações!S50:Y50)</f>
        <v>5</v>
      </c>
      <c r="M51" s="28">
        <v>45638</v>
      </c>
      <c r="N51" s="28" t="s">
        <v>364</v>
      </c>
      <c r="O51" s="6" t="s">
        <v>363</v>
      </c>
      <c r="P51" s="7" t="s">
        <v>389</v>
      </c>
      <c r="Q51" s="28"/>
      <c r="R51" s="28"/>
      <c r="S51" s="6"/>
      <c r="T51" s="6"/>
      <c r="U51" s="7"/>
      <c r="V51" s="28" t="s">
        <v>91</v>
      </c>
      <c r="W51" s="29" t="s">
        <v>390</v>
      </c>
      <c r="X51" s="58" t="s">
        <v>75</v>
      </c>
    </row>
    <row r="52" spans="1:24" ht="27" hidden="1" customHeight="1" x14ac:dyDescent="0.25">
      <c r="B52" s="53" t="str">
        <f t="shared" ca="1" si="2"/>
        <v>Comprador Negociando</v>
      </c>
      <c r="C52" s="12" t="str">
        <f t="shared" ca="1" si="3"/>
        <v>506 Dias</v>
      </c>
      <c r="D52" s="2">
        <v>50</v>
      </c>
      <c r="E52" s="3" t="s">
        <v>391</v>
      </c>
      <c r="F52" s="25" t="s">
        <v>66</v>
      </c>
      <c r="G52" s="25" t="s">
        <v>246</v>
      </c>
      <c r="H52" s="4" t="s">
        <v>392</v>
      </c>
      <c r="I52" s="25">
        <v>6</v>
      </c>
      <c r="J52" s="28">
        <v>45617</v>
      </c>
      <c r="K52" s="6">
        <v>45630</v>
      </c>
      <c r="L52" s="9">
        <f>COUNTA([1]Equalizações!S68:Y68)</f>
        <v>1</v>
      </c>
      <c r="M52" s="28">
        <v>45656</v>
      </c>
      <c r="N52" s="28" t="s">
        <v>393</v>
      </c>
      <c r="O52" s="6" t="s">
        <v>394</v>
      </c>
      <c r="P52" s="6" t="s">
        <v>395</v>
      </c>
      <c r="Q52" s="28" t="s">
        <v>182</v>
      </c>
      <c r="R52" s="28"/>
      <c r="S52" s="6"/>
      <c r="T52" s="6"/>
      <c r="U52" s="7" t="s">
        <v>396</v>
      </c>
      <c r="V52" s="28" t="s">
        <v>397</v>
      </c>
      <c r="W52" s="29">
        <v>565924</v>
      </c>
      <c r="X52" s="58"/>
    </row>
    <row r="53" spans="1:24" ht="27" hidden="1" customHeight="1" x14ac:dyDescent="0.25">
      <c r="B53" s="53" t="str">
        <f t="shared" ca="1" si="2"/>
        <v>Finalizado</v>
      </c>
      <c r="C53" s="12" t="str">
        <f t="shared" ca="1" si="3"/>
        <v>Ok</v>
      </c>
      <c r="D53" s="2">
        <v>54</v>
      </c>
      <c r="E53" s="3" t="s">
        <v>398</v>
      </c>
      <c r="F53" s="25" t="s">
        <v>87</v>
      </c>
      <c r="G53" s="25" t="s">
        <v>197</v>
      </c>
      <c r="H53" s="4" t="s">
        <v>399</v>
      </c>
      <c r="I53" s="25">
        <v>6</v>
      </c>
      <c r="J53" s="28">
        <v>45619</v>
      </c>
      <c r="K53" s="6">
        <v>45631</v>
      </c>
      <c r="L53" s="9">
        <f>COUNTA([1]Equalizações!S51:Y51)</f>
        <v>3</v>
      </c>
      <c r="M53" s="6"/>
      <c r="N53" s="6" t="s">
        <v>385</v>
      </c>
      <c r="O53" s="6" t="s">
        <v>400</v>
      </c>
      <c r="P53" s="7" t="s">
        <v>401</v>
      </c>
      <c r="Q53" s="7" t="s">
        <v>402</v>
      </c>
      <c r="R53" s="6" t="s">
        <v>403</v>
      </c>
      <c r="S53" s="6"/>
      <c r="T53" s="6"/>
      <c r="U53" s="7"/>
      <c r="V53" s="6" t="s">
        <v>386</v>
      </c>
      <c r="W53" s="4" t="s">
        <v>404</v>
      </c>
      <c r="X53" s="58" t="s">
        <v>75</v>
      </c>
    </row>
    <row r="54" spans="1:24" ht="27" hidden="1" customHeight="1" x14ac:dyDescent="0.25">
      <c r="B54" s="56" t="str">
        <f t="shared" ca="1" si="2"/>
        <v>Finalizado</v>
      </c>
      <c r="C54" s="12" t="str">
        <f t="shared" ca="1" si="3"/>
        <v>Ok</v>
      </c>
      <c r="D54" s="39">
        <v>57</v>
      </c>
      <c r="E54" s="40" t="s">
        <v>405</v>
      </c>
      <c r="F54" s="41" t="s">
        <v>66</v>
      </c>
      <c r="G54" s="41" t="s">
        <v>197</v>
      </c>
      <c r="H54" s="21" t="s">
        <v>406</v>
      </c>
      <c r="I54" s="41">
        <v>6</v>
      </c>
      <c r="J54" s="42">
        <v>45623</v>
      </c>
      <c r="K54" s="19">
        <v>45631</v>
      </c>
      <c r="L54" s="9">
        <f>COUNTA([1]Equalizações!S53:Y53)</f>
        <v>6</v>
      </c>
      <c r="M54" s="19">
        <v>45649</v>
      </c>
      <c r="N54" s="19" t="s">
        <v>407</v>
      </c>
      <c r="O54" s="19" t="s">
        <v>291</v>
      </c>
      <c r="P54" s="19" t="s">
        <v>193</v>
      </c>
      <c r="Q54" s="19" t="s">
        <v>408</v>
      </c>
      <c r="R54" s="19" t="s">
        <v>409</v>
      </c>
      <c r="S54" s="19"/>
      <c r="T54" s="19"/>
      <c r="U54" s="20" t="s">
        <v>410</v>
      </c>
      <c r="V54" s="19" t="s">
        <v>257</v>
      </c>
      <c r="W54" s="21" t="s">
        <v>411</v>
      </c>
      <c r="X54" s="62" t="s">
        <v>75</v>
      </c>
    </row>
    <row r="55" spans="1:24" ht="27" hidden="1" customHeight="1" x14ac:dyDescent="0.25">
      <c r="B55" s="53" t="str">
        <f t="shared" ca="1" si="2"/>
        <v>Finalizado</v>
      </c>
      <c r="C55" s="12" t="str">
        <f t="shared" ca="1" si="3"/>
        <v>Ok</v>
      </c>
      <c r="D55" s="2">
        <v>58</v>
      </c>
      <c r="E55" s="3" t="s">
        <v>412</v>
      </c>
      <c r="F55" s="25" t="s">
        <v>87</v>
      </c>
      <c r="G55" s="25" t="s">
        <v>246</v>
      </c>
      <c r="H55" s="4" t="s">
        <v>413</v>
      </c>
      <c r="I55" s="25">
        <v>5</v>
      </c>
      <c r="J55" s="28">
        <v>45623</v>
      </c>
      <c r="K55" s="6">
        <v>45631</v>
      </c>
      <c r="L55" s="9">
        <f>COUNTA([1]Equalizações!S54:Y54)</f>
        <v>7</v>
      </c>
      <c r="M55" s="6">
        <v>45638</v>
      </c>
      <c r="N55" s="6" t="s">
        <v>414</v>
      </c>
      <c r="O55" s="6" t="s">
        <v>415</v>
      </c>
      <c r="P55" s="7" t="s">
        <v>416</v>
      </c>
      <c r="Q55" s="43"/>
      <c r="R55" s="43"/>
      <c r="S55" s="6"/>
      <c r="T55" s="6"/>
      <c r="U55" s="7" t="s">
        <v>417</v>
      </c>
      <c r="V55" s="6" t="s">
        <v>418</v>
      </c>
      <c r="W55" s="4" t="s">
        <v>419</v>
      </c>
      <c r="X55" s="58" t="s">
        <v>75</v>
      </c>
    </row>
    <row r="56" spans="1:24" ht="27" hidden="1" customHeight="1" x14ac:dyDescent="0.25">
      <c r="B56" s="53" t="str">
        <f t="shared" ca="1" si="2"/>
        <v>Aguardando Retorno Fornecedores</v>
      </c>
      <c r="C56" s="12" t="e">
        <f t="shared" ca="1" si="3"/>
        <v>#VALUE!</v>
      </c>
      <c r="D56" s="2">
        <v>49</v>
      </c>
      <c r="E56" s="3" t="s">
        <v>420</v>
      </c>
      <c r="F56" s="25" t="s">
        <v>66</v>
      </c>
      <c r="G56" s="25" t="s">
        <v>246</v>
      </c>
      <c r="H56" s="4" t="s">
        <v>421</v>
      </c>
      <c r="I56" s="25">
        <v>4</v>
      </c>
      <c r="J56" s="28">
        <v>45617</v>
      </c>
      <c r="K56" s="6">
        <v>45632</v>
      </c>
      <c r="L56" s="9">
        <f>COUNTA([1]Equalizações!S49:Y49)</f>
        <v>2</v>
      </c>
      <c r="M56" s="28" t="s">
        <v>422</v>
      </c>
      <c r="N56" s="24" t="s">
        <v>423</v>
      </c>
      <c r="O56" s="6"/>
      <c r="P56" s="6"/>
      <c r="Q56" s="28"/>
      <c r="R56" s="28"/>
      <c r="S56" s="6"/>
      <c r="T56" s="6"/>
      <c r="U56" s="7" t="s">
        <v>424</v>
      </c>
      <c r="V56" s="28" t="s">
        <v>425</v>
      </c>
      <c r="W56" s="29">
        <v>565921</v>
      </c>
      <c r="X56" s="58"/>
    </row>
    <row r="57" spans="1:24" ht="27" hidden="1" customHeight="1" x14ac:dyDescent="0.25">
      <c r="B57" s="53" t="str">
        <f t="shared" ca="1" si="2"/>
        <v>Finalizado</v>
      </c>
      <c r="C57" s="12" t="str">
        <f t="shared" ca="1" si="3"/>
        <v>Ok</v>
      </c>
      <c r="D57" s="2">
        <v>61</v>
      </c>
      <c r="E57" s="3" t="s">
        <v>426</v>
      </c>
      <c r="F57" s="25" t="s">
        <v>66</v>
      </c>
      <c r="G57" s="25" t="s">
        <v>197</v>
      </c>
      <c r="H57" s="4" t="s">
        <v>427</v>
      </c>
      <c r="I57" s="25">
        <f>IF('[1]Cartas Convite'!$H61&lt;&gt;"",LEN('[1]Cartas Convite'!$H61)-LEN(SUBSTITUTE('[1]Cartas Convite'!$H61,"/",""))+1,"")</f>
        <v>6</v>
      </c>
      <c r="J57" s="28">
        <v>45630</v>
      </c>
      <c r="K57" s="6">
        <v>45637</v>
      </c>
      <c r="L57" s="9">
        <f>COUNTA([1]Equalizações!S56:Y56)</f>
        <v>5</v>
      </c>
      <c r="M57" s="6">
        <v>45656</v>
      </c>
      <c r="N57" s="7" t="s">
        <v>428</v>
      </c>
      <c r="O57" s="6" t="s">
        <v>133</v>
      </c>
      <c r="P57" s="6" t="s">
        <v>429</v>
      </c>
      <c r="Q57" s="43"/>
      <c r="R57" s="43"/>
      <c r="S57" s="6"/>
      <c r="T57" s="6"/>
      <c r="U57" s="7" t="s">
        <v>430</v>
      </c>
      <c r="V57" s="6" t="s">
        <v>111</v>
      </c>
      <c r="W57" s="4" t="s">
        <v>431</v>
      </c>
      <c r="X57" s="58" t="s">
        <v>75</v>
      </c>
    </row>
    <row r="58" spans="1:24" ht="27" hidden="1" customHeight="1" x14ac:dyDescent="0.25">
      <c r="B58" s="53" t="str">
        <f t="shared" ca="1" si="2"/>
        <v>Comprador Negociando</v>
      </c>
      <c r="C58" s="12" t="str">
        <f t="shared" ca="1" si="3"/>
        <v>517 Dias</v>
      </c>
      <c r="D58" s="2">
        <v>62</v>
      </c>
      <c r="E58" s="3" t="s">
        <v>432</v>
      </c>
      <c r="F58" s="25" t="s">
        <v>66</v>
      </c>
      <c r="G58" s="25" t="s">
        <v>246</v>
      </c>
      <c r="H58" s="4" t="s">
        <v>371</v>
      </c>
      <c r="I58" s="25">
        <v>4</v>
      </c>
      <c r="J58" s="28">
        <v>45631</v>
      </c>
      <c r="K58" s="6">
        <v>45637</v>
      </c>
      <c r="L58" s="9">
        <f>COUNTA([1]Equalizações!S57:Y57)</f>
        <v>1</v>
      </c>
      <c r="M58" s="6">
        <v>45645</v>
      </c>
      <c r="N58" s="6" t="s">
        <v>433</v>
      </c>
      <c r="O58" s="7" t="s">
        <v>373</v>
      </c>
      <c r="P58" s="6" t="s">
        <v>434</v>
      </c>
      <c r="Q58" s="43" t="s">
        <v>372</v>
      </c>
      <c r="R58" s="43"/>
      <c r="S58" s="6"/>
      <c r="T58" s="6"/>
      <c r="U58" s="7"/>
      <c r="V58" s="6" t="s">
        <v>270</v>
      </c>
      <c r="W58" s="4">
        <v>1073</v>
      </c>
      <c r="X58" s="58"/>
    </row>
    <row r="59" spans="1:24" ht="27" hidden="1" customHeight="1" x14ac:dyDescent="0.25">
      <c r="A59" t="s">
        <v>64</v>
      </c>
      <c r="B59" s="53" t="str">
        <f t="shared" ca="1" si="2"/>
        <v>Finalizado</v>
      </c>
      <c r="C59" s="12" t="str">
        <f t="shared" ca="1" si="3"/>
        <v>Ok</v>
      </c>
      <c r="D59" s="2">
        <v>55</v>
      </c>
      <c r="E59" s="3" t="s">
        <v>435</v>
      </c>
      <c r="F59" s="25" t="s">
        <v>66</v>
      </c>
      <c r="G59" s="25" t="s">
        <v>225</v>
      </c>
      <c r="H59" s="4" t="s">
        <v>436</v>
      </c>
      <c r="I59" s="25">
        <v>8</v>
      </c>
      <c r="J59" s="28">
        <v>45623</v>
      </c>
      <c r="K59" s="6">
        <v>45638</v>
      </c>
      <c r="L59" s="9">
        <f>COUNTA([1]Equalizações!S52:Y52)</f>
        <v>5</v>
      </c>
      <c r="M59" s="6">
        <v>45645</v>
      </c>
      <c r="N59" s="7" t="s">
        <v>437</v>
      </c>
      <c r="O59" s="6" t="s">
        <v>220</v>
      </c>
      <c r="P59" s="6" t="s">
        <v>438</v>
      </c>
      <c r="Q59" s="6" t="s">
        <v>439</v>
      </c>
      <c r="R59" s="7" t="s">
        <v>440</v>
      </c>
      <c r="S59" s="6"/>
      <c r="T59" s="6"/>
      <c r="U59" s="7" t="s">
        <v>441</v>
      </c>
      <c r="V59" s="7" t="s">
        <v>442</v>
      </c>
      <c r="W59" s="4" t="s">
        <v>443</v>
      </c>
      <c r="X59" s="58" t="s">
        <v>75</v>
      </c>
    </row>
    <row r="60" spans="1:24" ht="27" hidden="1" customHeight="1" x14ac:dyDescent="0.25">
      <c r="B60" s="53" t="str">
        <f t="shared" ca="1" si="2"/>
        <v>Prazo de Retorno Vencido</v>
      </c>
      <c r="C60" s="12" t="str">
        <f t="shared" ca="1" si="3"/>
        <v>533 Dias</v>
      </c>
      <c r="D60" s="2">
        <v>60</v>
      </c>
      <c r="E60" s="3" t="s">
        <v>444</v>
      </c>
      <c r="F60" s="25" t="s">
        <v>87</v>
      </c>
      <c r="G60" s="25" t="s">
        <v>197</v>
      </c>
      <c r="H60" s="4" t="s">
        <v>445</v>
      </c>
      <c r="I60" s="25">
        <v>1</v>
      </c>
      <c r="J60" s="28">
        <v>45629</v>
      </c>
      <c r="K60" s="6">
        <v>45639</v>
      </c>
      <c r="L60" s="9">
        <f>COUNTA([1]Equalizações!S55:Y55)</f>
        <v>7</v>
      </c>
      <c r="M60" s="6"/>
      <c r="N60" s="6"/>
      <c r="O60" s="6"/>
      <c r="P60" s="6"/>
      <c r="Q60" s="43"/>
      <c r="R60" s="43"/>
      <c r="S60" s="6"/>
      <c r="T60" s="6"/>
      <c r="U60" s="7"/>
      <c r="V60" s="6" t="s">
        <v>446</v>
      </c>
      <c r="W60" s="4" t="s">
        <v>447</v>
      </c>
      <c r="X60" s="58"/>
    </row>
    <row r="61" spans="1:24" ht="27" hidden="1" customHeight="1" x14ac:dyDescent="0.25">
      <c r="B61" s="53" t="str">
        <f t="shared" ca="1" si="2"/>
        <v>Comprador Negociando</v>
      </c>
      <c r="C61" s="12" t="str">
        <f t="shared" ca="1" si="3"/>
        <v>499 Dias</v>
      </c>
      <c r="D61" s="44">
        <v>63</v>
      </c>
      <c r="E61" s="45" t="s">
        <v>448</v>
      </c>
      <c r="F61" s="46" t="s">
        <v>87</v>
      </c>
      <c r="G61" s="46" t="s">
        <v>246</v>
      </c>
      <c r="H61" s="47" t="s">
        <v>449</v>
      </c>
      <c r="I61" s="46">
        <v>4</v>
      </c>
      <c r="J61" s="48"/>
      <c r="K61" s="49">
        <v>45639</v>
      </c>
      <c r="L61" s="9">
        <f>COUNTA([1]Equalizações!S58:Y58)</f>
        <v>5</v>
      </c>
      <c r="M61" s="49">
        <v>45663</v>
      </c>
      <c r="N61" s="49" t="s">
        <v>450</v>
      </c>
      <c r="O61" s="49" t="s">
        <v>451</v>
      </c>
      <c r="P61" s="49"/>
      <c r="Q61" s="50"/>
      <c r="R61" s="50"/>
      <c r="S61" s="49"/>
      <c r="T61" s="49"/>
      <c r="U61" s="51"/>
      <c r="V61" s="49" t="s">
        <v>451</v>
      </c>
      <c r="W61" s="47">
        <v>565844</v>
      </c>
      <c r="X61" s="63"/>
    </row>
    <row r="62" spans="1:24" ht="27" hidden="1" customHeight="1" x14ac:dyDescent="0.25">
      <c r="A62" t="s">
        <v>64</v>
      </c>
      <c r="B62" s="53" t="str">
        <f t="shared" ca="1" si="2"/>
        <v>Comprador Negociando</v>
      </c>
      <c r="C62" s="12" t="str">
        <f t="shared" ca="1" si="3"/>
        <v>530 Dias</v>
      </c>
      <c r="D62" s="44">
        <v>65</v>
      </c>
      <c r="E62" s="45" t="s">
        <v>452</v>
      </c>
      <c r="F62" s="46" t="s">
        <v>453</v>
      </c>
      <c r="G62" s="46" t="s">
        <v>454</v>
      </c>
      <c r="H62" s="47" t="s">
        <v>455</v>
      </c>
      <c r="I62" s="46">
        <v>3</v>
      </c>
      <c r="J62" s="48">
        <v>45632</v>
      </c>
      <c r="K62" s="49">
        <v>45639</v>
      </c>
      <c r="L62" s="9">
        <f>COUNTA([1]Equalizações!S76:Y76)</f>
        <v>5</v>
      </c>
      <c r="M62" s="49"/>
      <c r="N62" s="49" t="s">
        <v>456</v>
      </c>
      <c r="O62" s="49" t="s">
        <v>457</v>
      </c>
      <c r="P62" s="49"/>
      <c r="Q62" s="50"/>
      <c r="R62" s="50"/>
      <c r="S62" s="49"/>
      <c r="T62" s="49"/>
      <c r="U62" s="51" t="s">
        <v>458</v>
      </c>
      <c r="V62" s="49" t="s">
        <v>457</v>
      </c>
      <c r="W62" s="47">
        <v>565929</v>
      </c>
      <c r="X62" s="63"/>
    </row>
    <row r="63" spans="1:24" ht="27" hidden="1" customHeight="1" x14ac:dyDescent="0.25">
      <c r="B63" s="53" t="str">
        <f t="shared" ca="1" si="2"/>
        <v>Finalizado</v>
      </c>
      <c r="C63" s="12" t="str">
        <f t="shared" ca="1" si="3"/>
        <v>Ok</v>
      </c>
      <c r="D63" s="44">
        <v>67</v>
      </c>
      <c r="E63" s="45" t="s">
        <v>459</v>
      </c>
      <c r="F63" s="46" t="s">
        <v>66</v>
      </c>
      <c r="G63" s="46" t="s">
        <v>225</v>
      </c>
      <c r="H63" s="47" t="s">
        <v>460</v>
      </c>
      <c r="I63" s="46">
        <v>3</v>
      </c>
      <c r="J63" s="48">
        <v>45636</v>
      </c>
      <c r="K63" s="49">
        <v>45644</v>
      </c>
      <c r="L63" s="9">
        <f>COUNTA([1]Equalizações!S59:Y59)</f>
        <v>6</v>
      </c>
      <c r="M63" s="49">
        <v>45649</v>
      </c>
      <c r="N63" s="49" t="s">
        <v>461</v>
      </c>
      <c r="O63" s="49" t="s">
        <v>91</v>
      </c>
      <c r="P63" s="49" t="s">
        <v>462</v>
      </c>
      <c r="Q63" s="50"/>
      <c r="R63" s="50"/>
      <c r="S63" s="49"/>
      <c r="T63" s="49"/>
      <c r="U63" s="51"/>
      <c r="V63" s="49" t="s">
        <v>463</v>
      </c>
      <c r="W63" s="29" t="s">
        <v>464</v>
      </c>
      <c r="X63" s="58" t="s">
        <v>75</v>
      </c>
    </row>
    <row r="64" spans="1:24" ht="27" hidden="1" customHeight="1" x14ac:dyDescent="0.25">
      <c r="B64" s="53" t="str">
        <f t="shared" ca="1" si="2"/>
        <v>Finalizado</v>
      </c>
      <c r="C64" s="12" t="str">
        <f t="shared" ca="1" si="3"/>
        <v>Ok</v>
      </c>
      <c r="D64" s="44">
        <v>68</v>
      </c>
      <c r="E64" s="45" t="s">
        <v>465</v>
      </c>
      <c r="F64" s="46" t="s">
        <v>66</v>
      </c>
      <c r="G64" s="46" t="s">
        <v>225</v>
      </c>
      <c r="H64" s="47" t="s">
        <v>466</v>
      </c>
      <c r="I64" s="46">
        <v>3</v>
      </c>
      <c r="J64" s="48">
        <v>45637</v>
      </c>
      <c r="K64" s="49">
        <v>45644</v>
      </c>
      <c r="L64" s="9">
        <f>COUNTA([1]Equalizações!S60:Y60)</f>
        <v>4</v>
      </c>
      <c r="M64" s="49" t="s">
        <v>467</v>
      </c>
      <c r="N64" s="49" t="s">
        <v>468</v>
      </c>
      <c r="O64" s="49"/>
      <c r="P64" s="49"/>
      <c r="Q64" s="50"/>
      <c r="R64" s="50"/>
      <c r="S64" s="49"/>
      <c r="T64" s="49"/>
      <c r="U64" s="51"/>
      <c r="V64" s="49" t="s">
        <v>469</v>
      </c>
      <c r="W64" s="47" t="s">
        <v>470</v>
      </c>
      <c r="X64" s="63" t="s">
        <v>75</v>
      </c>
    </row>
    <row r="65" spans="1:24" ht="27" hidden="1" customHeight="1" x14ac:dyDescent="0.25">
      <c r="B65" s="53" t="str">
        <f t="shared" ca="1" si="2"/>
        <v>Finalizado</v>
      </c>
      <c r="C65" s="12" t="str">
        <f t="shared" ca="1" si="3"/>
        <v>Ok</v>
      </c>
      <c r="D65" s="44">
        <v>69</v>
      </c>
      <c r="E65" s="45" t="s">
        <v>471</v>
      </c>
      <c r="F65" s="46" t="s">
        <v>66</v>
      </c>
      <c r="G65" s="46" t="s">
        <v>246</v>
      </c>
      <c r="H65" s="47" t="s">
        <v>472</v>
      </c>
      <c r="I65" s="46">
        <v>3</v>
      </c>
      <c r="J65" s="48">
        <v>45639</v>
      </c>
      <c r="K65" s="49">
        <v>45644</v>
      </c>
      <c r="L65" s="9">
        <f>COUNTA([1]Equalizações!S61:Y61)</f>
        <v>5</v>
      </c>
      <c r="M65" s="51" t="s">
        <v>422</v>
      </c>
      <c r="N65" s="49" t="s">
        <v>473</v>
      </c>
      <c r="O65" s="49" t="s">
        <v>474</v>
      </c>
      <c r="P65" s="49" t="s">
        <v>270</v>
      </c>
      <c r="Q65" s="49" t="s">
        <v>475</v>
      </c>
      <c r="R65" s="50"/>
      <c r="S65" s="49"/>
      <c r="T65" s="49"/>
      <c r="U65" s="51"/>
      <c r="V65" s="49" t="s">
        <v>473</v>
      </c>
      <c r="W65" s="47" t="s">
        <v>476</v>
      </c>
      <c r="X65" s="63" t="s">
        <v>75</v>
      </c>
    </row>
    <row r="66" spans="1:24" ht="27" hidden="1" customHeight="1" x14ac:dyDescent="0.25">
      <c r="A66" t="s">
        <v>64</v>
      </c>
      <c r="B66" s="53" t="str">
        <f t="shared" ca="1" si="2"/>
        <v>Prazo de Retorno Vencido</v>
      </c>
      <c r="C66" s="12" t="str">
        <f t="shared" ca="1" si="3"/>
        <v>497 Dias</v>
      </c>
      <c r="D66" s="44">
        <v>72</v>
      </c>
      <c r="E66" s="45" t="s">
        <v>477</v>
      </c>
      <c r="F66" s="46" t="s">
        <v>66</v>
      </c>
      <c r="G66" s="46" t="s">
        <v>246</v>
      </c>
      <c r="H66" s="47" t="s">
        <v>472</v>
      </c>
      <c r="I66" s="46">
        <f>IF('[1]Cartas Convite'!$H71&lt;&gt;"",LEN('[1]Cartas Convite'!$H71)-LEN(SUBSTITUTE('[1]Cartas Convite'!$H71,"/",""))+1,"")</f>
        <v>2</v>
      </c>
      <c r="J66" s="48">
        <v>45646</v>
      </c>
      <c r="K66" s="49">
        <v>45651</v>
      </c>
      <c r="L66" s="9">
        <f>COUNTA([1]Equalizações!S64:Y64)</f>
        <v>6</v>
      </c>
      <c r="M66" s="49">
        <v>45665</v>
      </c>
      <c r="N66" s="49"/>
      <c r="O66" s="49"/>
      <c r="P66" s="49"/>
      <c r="Q66" s="50"/>
      <c r="R66" s="50"/>
      <c r="S66" s="49"/>
      <c r="T66" s="49"/>
      <c r="U66" s="51"/>
      <c r="V66" s="49" t="s">
        <v>473</v>
      </c>
      <c r="W66" s="47" t="s">
        <v>478</v>
      </c>
      <c r="X66" s="63"/>
    </row>
    <row r="67" spans="1:24" ht="27" hidden="1" customHeight="1" x14ac:dyDescent="0.25">
      <c r="B67" s="53" t="str">
        <f t="shared" ca="1" si="2"/>
        <v>Finalizado</v>
      </c>
      <c r="C67" s="12" t="str">
        <f t="shared" ca="1" si="3"/>
        <v>Ok</v>
      </c>
      <c r="D67" s="44">
        <v>71</v>
      </c>
      <c r="E67" s="45" t="s">
        <v>479</v>
      </c>
      <c r="F67" s="46" t="s">
        <v>66</v>
      </c>
      <c r="G67" s="46" t="s">
        <v>246</v>
      </c>
      <c r="H67" s="47" t="s">
        <v>480</v>
      </c>
      <c r="I67" s="46">
        <v>7</v>
      </c>
      <c r="J67" s="48">
        <v>45645</v>
      </c>
      <c r="K67" s="49">
        <v>45653</v>
      </c>
      <c r="L67" s="9">
        <f>COUNTA([1]Equalizações!S63:Y63)</f>
        <v>6</v>
      </c>
      <c r="M67" s="49">
        <v>45659</v>
      </c>
      <c r="N67" s="49" t="s">
        <v>363</v>
      </c>
      <c r="O67" s="49" t="s">
        <v>481</v>
      </c>
      <c r="P67" s="49" t="s">
        <v>365</v>
      </c>
      <c r="Q67" s="50"/>
      <c r="R67" s="50"/>
      <c r="S67" s="49"/>
      <c r="T67" s="49"/>
      <c r="U67" s="51"/>
      <c r="V67" s="49" t="s">
        <v>482</v>
      </c>
      <c r="W67" s="47" t="s">
        <v>483</v>
      </c>
      <c r="X67" s="63" t="s">
        <v>75</v>
      </c>
    </row>
    <row r="68" spans="1:24" ht="27" hidden="1" customHeight="1" x14ac:dyDescent="0.25">
      <c r="B68" s="53" t="str">
        <f t="shared" ca="1" si="2"/>
        <v>Finalizado</v>
      </c>
      <c r="C68" s="12" t="str">
        <f t="shared" ca="1" si="3"/>
        <v>Ok</v>
      </c>
      <c r="D68" s="44">
        <v>73</v>
      </c>
      <c r="E68" s="45" t="s">
        <v>484</v>
      </c>
      <c r="F68" s="46" t="s">
        <v>66</v>
      </c>
      <c r="G68" s="46" t="s">
        <v>225</v>
      </c>
      <c r="H68" s="47" t="s">
        <v>485</v>
      </c>
      <c r="I68" s="46">
        <v>3</v>
      </c>
      <c r="J68" s="48">
        <v>45649</v>
      </c>
      <c r="K68" s="49">
        <v>45656</v>
      </c>
      <c r="L68" s="9">
        <f>COUNTA([1]Equalizações!S65:Y65)</f>
        <v>5</v>
      </c>
      <c r="M68" s="49">
        <v>45663</v>
      </c>
      <c r="N68" s="49" t="s">
        <v>486</v>
      </c>
      <c r="O68" s="51" t="s">
        <v>487</v>
      </c>
      <c r="P68" s="51" t="s">
        <v>488</v>
      </c>
      <c r="Q68" s="50"/>
      <c r="R68" s="50"/>
      <c r="S68" s="49"/>
      <c r="T68" s="49"/>
      <c r="U68" s="51"/>
      <c r="V68" s="49" t="s">
        <v>489</v>
      </c>
      <c r="W68" s="47" t="s">
        <v>490</v>
      </c>
      <c r="X68" s="63" t="s">
        <v>75</v>
      </c>
    </row>
    <row r="69" spans="1:24" ht="27" hidden="1" customHeight="1" x14ac:dyDescent="0.25">
      <c r="B69" s="53" t="str">
        <f t="shared" ref="B69:B82" ca="1" si="4">IF($X69&lt;&gt;"","Finalizado",IF($O69&lt;&gt;"","Comprador Negociando",IF($M69&gt;=TODAY(),"Aguardando Retorno Fornecedores","Prazo de Retorno Vencido")))</f>
        <v>Finalizado</v>
      </c>
      <c r="C69" s="12" t="str">
        <f t="shared" ref="C69:C80" ca="1" si="5">IF(B69="Finalizado","Ok",IF(IF(M69="",_xlfn.DAYS(TODAY(),J69),_xlfn.DAYS(TODAY(),M69))&gt;1,IF(M69="",_xlfn.DAYS(TODAY(),J69),_xlfn.DAYS(TODAY(),M69))&amp;" Dias",IF(M69="",_xlfn.DAYS(TODAY(),J69),_xlfn.DAYS(TODAY(),M69))&amp;" Dia"))</f>
        <v>Ok</v>
      </c>
      <c r="D69" s="2" t="s">
        <v>491</v>
      </c>
      <c r="E69" s="3" t="s">
        <v>492</v>
      </c>
      <c r="F69" s="2" t="s">
        <v>66</v>
      </c>
      <c r="G69" s="2" t="s">
        <v>197</v>
      </c>
      <c r="H69" s="4" t="s">
        <v>199</v>
      </c>
      <c r="I69" s="25">
        <v>1</v>
      </c>
      <c r="J69" s="28">
        <v>45653</v>
      </c>
      <c r="K69" s="6">
        <v>45660</v>
      </c>
      <c r="L69" s="9">
        <f>COUNTA([1]Equalizações!S21:Y21)</f>
        <v>7</v>
      </c>
      <c r="M69" s="28">
        <v>45659</v>
      </c>
      <c r="N69" s="28" t="s">
        <v>199</v>
      </c>
      <c r="O69" s="6"/>
      <c r="P69" s="7"/>
      <c r="Q69" s="24"/>
      <c r="R69" s="24"/>
      <c r="S69" s="7"/>
      <c r="T69" s="7"/>
      <c r="U69" s="7"/>
      <c r="V69" s="28" t="s">
        <v>199</v>
      </c>
      <c r="W69" s="29">
        <v>565926</v>
      </c>
      <c r="X69" s="58" t="s">
        <v>75</v>
      </c>
    </row>
    <row r="70" spans="1:24" ht="27" hidden="1" customHeight="1" x14ac:dyDescent="0.25">
      <c r="B70" s="53" t="str">
        <f t="shared" ca="1" si="4"/>
        <v>Finalizado</v>
      </c>
      <c r="C70" s="12" t="str">
        <f t="shared" ca="1" si="5"/>
        <v>Ok</v>
      </c>
      <c r="D70" s="2" t="s">
        <v>493</v>
      </c>
      <c r="E70" s="3" t="s">
        <v>494</v>
      </c>
      <c r="F70" s="25" t="s">
        <v>66</v>
      </c>
      <c r="G70" s="25" t="s">
        <v>197</v>
      </c>
      <c r="H70" s="4" t="s">
        <v>219</v>
      </c>
      <c r="I70" s="25">
        <v>1</v>
      </c>
      <c r="J70" s="28">
        <v>45653</v>
      </c>
      <c r="K70" s="6">
        <v>45660</v>
      </c>
      <c r="L70" s="9">
        <f>COUNTA([1]Equalizações!S28:Y28)</f>
        <v>7</v>
      </c>
      <c r="M70" s="24">
        <v>45659</v>
      </c>
      <c r="N70" s="28" t="s">
        <v>219</v>
      </c>
      <c r="O70" s="6"/>
      <c r="P70" s="6"/>
      <c r="Q70" s="24"/>
      <c r="R70" s="7"/>
      <c r="S70" s="7"/>
      <c r="T70" s="24"/>
      <c r="U70" s="7"/>
      <c r="V70" s="28" t="s">
        <v>219</v>
      </c>
      <c r="W70" s="29">
        <v>565554</v>
      </c>
      <c r="X70" s="58" t="s">
        <v>75</v>
      </c>
    </row>
    <row r="71" spans="1:24" ht="27" hidden="1" customHeight="1" x14ac:dyDescent="0.25">
      <c r="B71" s="53" t="str">
        <f t="shared" ca="1" si="4"/>
        <v>Comprador Negociando</v>
      </c>
      <c r="C71" s="12" t="str">
        <f t="shared" ca="1" si="5"/>
        <v>498 Dias</v>
      </c>
      <c r="D71" s="44">
        <v>70</v>
      </c>
      <c r="E71" s="45" t="s">
        <v>495</v>
      </c>
      <c r="F71" s="46" t="s">
        <v>66</v>
      </c>
      <c r="G71" s="46" t="s">
        <v>197</v>
      </c>
      <c r="H71" s="47" t="s">
        <v>496</v>
      </c>
      <c r="I71" s="46">
        <v>4</v>
      </c>
      <c r="J71" s="48">
        <v>45643</v>
      </c>
      <c r="K71" s="49">
        <v>45665</v>
      </c>
      <c r="L71" s="9">
        <f>COUNTA([1]Equalizações!S62:Y62)</f>
        <v>3</v>
      </c>
      <c r="M71" s="49">
        <v>45664</v>
      </c>
      <c r="N71" s="51" t="s">
        <v>199</v>
      </c>
      <c r="O71" s="49" t="s">
        <v>220</v>
      </c>
      <c r="P71" s="49" t="s">
        <v>497</v>
      </c>
      <c r="Q71" s="49" t="s">
        <v>498</v>
      </c>
      <c r="R71" s="50"/>
      <c r="S71" s="49"/>
      <c r="T71" s="49"/>
      <c r="U71" s="51"/>
      <c r="V71" s="49" t="s">
        <v>498</v>
      </c>
      <c r="W71" s="47">
        <v>565948</v>
      </c>
      <c r="X71" s="63"/>
    </row>
    <row r="72" spans="1:24" ht="27" hidden="1" customHeight="1" x14ac:dyDescent="0.25">
      <c r="B72" s="53" t="str">
        <f t="shared" ca="1" si="4"/>
        <v>Prazo de Retorno Vencido</v>
      </c>
      <c r="C72" s="12" t="str">
        <f t="shared" ca="1" si="5"/>
        <v>488 Dias</v>
      </c>
      <c r="D72" s="44">
        <v>74</v>
      </c>
      <c r="E72" s="45" t="s">
        <v>499</v>
      </c>
      <c r="F72" s="46" t="s">
        <v>66</v>
      </c>
      <c r="G72" s="46" t="s">
        <v>197</v>
      </c>
      <c r="H72" s="47" t="s">
        <v>500</v>
      </c>
      <c r="I72" s="46">
        <v>2</v>
      </c>
      <c r="J72" s="48">
        <v>45659</v>
      </c>
      <c r="K72" s="49">
        <v>45665</v>
      </c>
      <c r="L72" s="9">
        <f>COUNTA([1]Equalizações!S69:Y69)</f>
        <v>5</v>
      </c>
      <c r="M72" s="49">
        <v>45674</v>
      </c>
      <c r="N72" s="51" t="s">
        <v>501</v>
      </c>
      <c r="O72" s="49"/>
      <c r="P72" s="49"/>
      <c r="Q72" s="50"/>
      <c r="R72" s="50"/>
      <c r="S72" s="49"/>
      <c r="T72" s="49"/>
      <c r="U72" s="51"/>
      <c r="V72" s="49" t="s">
        <v>502</v>
      </c>
      <c r="W72" s="47">
        <v>565973</v>
      </c>
      <c r="X72" s="63"/>
    </row>
    <row r="73" spans="1:24" ht="27" hidden="1" customHeight="1" x14ac:dyDescent="0.25">
      <c r="A73" t="s">
        <v>64</v>
      </c>
      <c r="B73" s="53" t="str">
        <f t="shared" ca="1" si="4"/>
        <v>Aguardando Retorno Fornecedores</v>
      </c>
      <c r="C73" s="12" t="e">
        <f t="shared" ca="1" si="5"/>
        <v>#VALUE!</v>
      </c>
      <c r="D73" s="44">
        <v>75</v>
      </c>
      <c r="E73" s="45" t="s">
        <v>503</v>
      </c>
      <c r="F73" s="46" t="s">
        <v>87</v>
      </c>
      <c r="G73" s="46" t="s">
        <v>225</v>
      </c>
      <c r="H73" s="47" t="s">
        <v>504</v>
      </c>
      <c r="I73" s="46">
        <v>3</v>
      </c>
      <c r="J73" s="48">
        <v>45660</v>
      </c>
      <c r="K73" s="49">
        <v>45665</v>
      </c>
      <c r="L73" s="9">
        <f>COUNTA([1]Equalizações!S71:Y71)</f>
        <v>3</v>
      </c>
      <c r="M73" s="49" t="s">
        <v>422</v>
      </c>
      <c r="N73" s="51"/>
      <c r="O73" s="49"/>
      <c r="P73" s="49"/>
      <c r="Q73" s="50"/>
      <c r="R73" s="50"/>
      <c r="S73" s="49"/>
      <c r="T73" s="49"/>
      <c r="U73" s="51" t="s">
        <v>505</v>
      </c>
      <c r="V73" s="49" t="s">
        <v>506</v>
      </c>
      <c r="W73" s="47">
        <v>565974</v>
      </c>
      <c r="X73" s="63"/>
    </row>
    <row r="74" spans="1:24" ht="27" hidden="1" customHeight="1" x14ac:dyDescent="0.25">
      <c r="B74" s="53" t="str">
        <f t="shared" ca="1" si="4"/>
        <v>Prazo de Retorno Vencido</v>
      </c>
      <c r="C74" s="12" t="str">
        <f t="shared" ca="1" si="5"/>
        <v>502 Dias</v>
      </c>
      <c r="D74" s="44">
        <v>76</v>
      </c>
      <c r="E74" s="45" t="s">
        <v>507</v>
      </c>
      <c r="F74" s="46" t="s">
        <v>87</v>
      </c>
      <c r="G74" s="46" t="s">
        <v>225</v>
      </c>
      <c r="H74" s="47" t="s">
        <v>508</v>
      </c>
      <c r="I74" s="46">
        <v>2</v>
      </c>
      <c r="J74" s="48">
        <v>45660</v>
      </c>
      <c r="K74" s="49">
        <v>45670</v>
      </c>
      <c r="L74" s="9">
        <f>COUNTA([1]Equalizações!S66:Y66)</f>
        <v>2</v>
      </c>
      <c r="M74" s="49"/>
      <c r="N74" s="51"/>
      <c r="O74" s="49"/>
      <c r="P74" s="49"/>
      <c r="Q74" s="50"/>
      <c r="R74" s="50"/>
      <c r="S74" s="49"/>
      <c r="T74" s="49"/>
      <c r="U74" s="51" t="s">
        <v>509</v>
      </c>
      <c r="V74" s="49" t="s">
        <v>510</v>
      </c>
      <c r="W74" s="47" t="s">
        <v>511</v>
      </c>
      <c r="X74" s="63"/>
    </row>
    <row r="75" spans="1:24" ht="27" hidden="1" customHeight="1" x14ac:dyDescent="0.25">
      <c r="B75" s="53" t="str">
        <f t="shared" ca="1" si="4"/>
        <v>Aguardando Retorno Fornecedores</v>
      </c>
      <c r="C75" s="12" t="e">
        <f t="shared" ca="1" si="5"/>
        <v>#VALUE!</v>
      </c>
      <c r="D75" s="44">
        <v>77</v>
      </c>
      <c r="E75" s="45" t="s">
        <v>512</v>
      </c>
      <c r="F75" s="46" t="s">
        <v>87</v>
      </c>
      <c r="G75" s="46" t="s">
        <v>513</v>
      </c>
      <c r="H75" s="47" t="s">
        <v>514</v>
      </c>
      <c r="I75" s="46">
        <v>1</v>
      </c>
      <c r="J75" s="48">
        <v>45667</v>
      </c>
      <c r="K75" s="49">
        <v>45674</v>
      </c>
      <c r="L75" s="9">
        <f>COUNTA([1]Equalizações!S72:Y72)</f>
        <v>1</v>
      </c>
      <c r="M75" s="49" t="s">
        <v>422</v>
      </c>
      <c r="N75" s="51"/>
      <c r="O75" s="49"/>
      <c r="P75" s="49"/>
      <c r="Q75" s="50"/>
      <c r="R75" s="50"/>
      <c r="S75" s="49"/>
      <c r="T75" s="49"/>
      <c r="U75" s="51" t="s">
        <v>515</v>
      </c>
      <c r="V75" s="49" t="s">
        <v>516</v>
      </c>
      <c r="W75" s="47">
        <v>565975</v>
      </c>
      <c r="X75" s="63"/>
    </row>
    <row r="76" spans="1:24" ht="27" hidden="1" customHeight="1" x14ac:dyDescent="0.25">
      <c r="B76" s="53" t="str">
        <f t="shared" ca="1" si="4"/>
        <v>Comprador Negociando</v>
      </c>
      <c r="C76" s="12" t="e">
        <f t="shared" ca="1" si="5"/>
        <v>#VALUE!</v>
      </c>
      <c r="D76" s="44">
        <v>79</v>
      </c>
      <c r="E76" s="45" t="s">
        <v>517</v>
      </c>
      <c r="F76" s="46" t="s">
        <v>87</v>
      </c>
      <c r="G76" s="46" t="s">
        <v>246</v>
      </c>
      <c r="H76" s="47" t="s">
        <v>518</v>
      </c>
      <c r="I76" s="46">
        <v>7</v>
      </c>
      <c r="J76" s="48">
        <v>45670</v>
      </c>
      <c r="K76" s="49">
        <v>45674</v>
      </c>
      <c r="L76" s="9">
        <f>COUNTA([1]Equalizações!S74:Y74)</f>
        <v>2</v>
      </c>
      <c r="M76" s="49" t="s">
        <v>422</v>
      </c>
      <c r="N76" s="51" t="s">
        <v>519</v>
      </c>
      <c r="O76" s="49" t="s">
        <v>474</v>
      </c>
      <c r="P76" s="49" t="s">
        <v>520</v>
      </c>
      <c r="Q76" s="50"/>
      <c r="R76" s="50"/>
      <c r="S76" s="49"/>
      <c r="T76" s="49"/>
      <c r="U76" s="51" t="s">
        <v>521</v>
      </c>
      <c r="V76" s="49"/>
      <c r="W76" s="47">
        <v>566135</v>
      </c>
      <c r="X76" s="63"/>
    </row>
    <row r="77" spans="1:24" ht="27" hidden="1" customHeight="1" x14ac:dyDescent="0.25">
      <c r="B77" s="53" t="str">
        <f t="shared" ca="1" si="4"/>
        <v>Prazo de Retorno Vencido</v>
      </c>
      <c r="C77" s="12" t="str">
        <f t="shared" ca="1" si="5"/>
        <v>485 Dias</v>
      </c>
      <c r="D77" s="44">
        <v>78</v>
      </c>
      <c r="E77" s="45" t="s">
        <v>522</v>
      </c>
      <c r="F77" s="46" t="s">
        <v>87</v>
      </c>
      <c r="G77" s="46" t="s">
        <v>225</v>
      </c>
      <c r="H77" s="47" t="s">
        <v>523</v>
      </c>
      <c r="I77" s="46">
        <v>3</v>
      </c>
      <c r="J77" s="48">
        <v>45677</v>
      </c>
      <c r="K77" s="49">
        <v>45679</v>
      </c>
      <c r="L77" s="9">
        <f>COUNTA([1]Equalizações!S70:Y70)</f>
        <v>6</v>
      </c>
      <c r="M77" s="49"/>
      <c r="N77" s="51"/>
      <c r="O77" s="49"/>
      <c r="P77" s="49"/>
      <c r="Q77" s="50"/>
      <c r="R77" s="50"/>
      <c r="S77" s="49"/>
      <c r="T77" s="49"/>
      <c r="U77" s="51" t="s">
        <v>524</v>
      </c>
      <c r="V77" s="49" t="s">
        <v>525</v>
      </c>
      <c r="W77" s="47">
        <v>566086</v>
      </c>
      <c r="X77" s="63"/>
    </row>
    <row r="78" spans="1:24" ht="27" hidden="1" customHeight="1" x14ac:dyDescent="0.25">
      <c r="B78" s="53" t="str">
        <f t="shared" ca="1" si="4"/>
        <v>Prazo de Retorno Vencido</v>
      </c>
      <c r="C78" s="12" t="str">
        <f t="shared" ca="1" si="5"/>
        <v>474 Dias</v>
      </c>
      <c r="D78" s="44">
        <v>80</v>
      </c>
      <c r="E78" s="45" t="s">
        <v>526</v>
      </c>
      <c r="F78" s="46" t="s">
        <v>87</v>
      </c>
      <c r="G78" s="46" t="s">
        <v>246</v>
      </c>
      <c r="H78" s="47" t="s">
        <v>527</v>
      </c>
      <c r="I78" s="46">
        <v>4</v>
      </c>
      <c r="J78" s="48">
        <v>45688</v>
      </c>
      <c r="K78" s="49">
        <v>45701</v>
      </c>
      <c r="L78" s="9">
        <f>COUNTA([1]Equalizações!S77:Y77)</f>
        <v>0</v>
      </c>
      <c r="M78" s="49"/>
      <c r="N78" s="49"/>
      <c r="O78" s="49"/>
      <c r="P78" s="49"/>
      <c r="Q78" s="50"/>
      <c r="R78" s="50"/>
      <c r="S78" s="49"/>
      <c r="T78" s="49"/>
      <c r="U78" s="51" t="s">
        <v>528</v>
      </c>
      <c r="V78" s="49"/>
      <c r="W78" s="47"/>
      <c r="X78" s="63"/>
    </row>
    <row r="79" spans="1:24" ht="27" hidden="1" customHeight="1" x14ac:dyDescent="0.25">
      <c r="B79" s="53" t="str">
        <f t="shared" ca="1" si="4"/>
        <v>Prazo de Retorno Vencido</v>
      </c>
      <c r="C79" s="12" t="str">
        <f t="shared" ca="1" si="5"/>
        <v>461 Dias</v>
      </c>
      <c r="D79" s="44"/>
      <c r="E79" s="45" t="s">
        <v>529</v>
      </c>
      <c r="F79" s="46" t="s">
        <v>66</v>
      </c>
      <c r="G79" s="46" t="s">
        <v>246</v>
      </c>
      <c r="H79" s="47"/>
      <c r="I79" s="46"/>
      <c r="J79" s="48">
        <v>45701</v>
      </c>
      <c r="K79" s="49">
        <v>45708</v>
      </c>
      <c r="L79" s="9">
        <f>COUNTA([1]Equalizações!S78:Y78)</f>
        <v>3</v>
      </c>
      <c r="M79" s="49"/>
      <c r="N79" s="49"/>
      <c r="O79" s="49"/>
      <c r="P79" s="49"/>
      <c r="Q79" s="50"/>
      <c r="R79" s="50"/>
      <c r="S79" s="49"/>
      <c r="T79" s="49"/>
      <c r="U79" s="51"/>
      <c r="V79" s="49" t="s">
        <v>530</v>
      </c>
      <c r="W79" s="47" t="s">
        <v>531</v>
      </c>
      <c r="X79" s="63"/>
    </row>
    <row r="80" spans="1:24" ht="27" hidden="1" customHeight="1" x14ac:dyDescent="0.25">
      <c r="B80" s="53" t="str">
        <f t="shared" ca="1" si="4"/>
        <v>Comprador Negociando</v>
      </c>
      <c r="C80" s="12" t="str">
        <f t="shared" ca="1" si="5"/>
        <v>509 Dias</v>
      </c>
      <c r="D80" s="44">
        <v>66</v>
      </c>
      <c r="E80" s="45" t="s">
        <v>532</v>
      </c>
      <c r="F80" s="46" t="s">
        <v>87</v>
      </c>
      <c r="G80" s="46" t="s">
        <v>246</v>
      </c>
      <c r="H80" s="47" t="s">
        <v>533</v>
      </c>
      <c r="I80" s="46">
        <v>3</v>
      </c>
      <c r="J80" s="48">
        <v>45636</v>
      </c>
      <c r="K80" s="49">
        <v>45714</v>
      </c>
      <c r="L80" s="9">
        <f>COUNTA([1]Equalizações!S79:Y79)</f>
        <v>1</v>
      </c>
      <c r="M80" s="49">
        <v>45653</v>
      </c>
      <c r="N80" s="49" t="s">
        <v>534</v>
      </c>
      <c r="O80" s="49" t="s">
        <v>535</v>
      </c>
      <c r="P80" s="49" t="s">
        <v>536</v>
      </c>
      <c r="Q80" s="50"/>
      <c r="R80" s="50"/>
      <c r="S80" s="49"/>
      <c r="T80" s="49"/>
      <c r="U80" s="51"/>
      <c r="V80" s="49"/>
      <c r="W80" s="47">
        <v>1091</v>
      </c>
      <c r="X80" s="63"/>
    </row>
    <row r="81" spans="2:24" ht="27" hidden="1" customHeight="1" x14ac:dyDescent="0.25">
      <c r="B81" s="53" t="str">
        <f t="shared" ca="1" si="4"/>
        <v>Prazo de Retorno Vencido</v>
      </c>
      <c r="C81" s="12" t="s">
        <v>537</v>
      </c>
      <c r="D81" s="44" t="s">
        <v>538</v>
      </c>
      <c r="E81" s="45" t="s">
        <v>539</v>
      </c>
      <c r="F81" s="46" t="s">
        <v>87</v>
      </c>
      <c r="G81" s="46" t="s">
        <v>540</v>
      </c>
      <c r="H81" s="47"/>
      <c r="I81" s="46"/>
      <c r="J81" s="48"/>
      <c r="K81" s="49"/>
      <c r="L81" s="9"/>
      <c r="M81" s="49"/>
      <c r="N81" s="51"/>
      <c r="O81" s="49"/>
      <c r="P81" s="49"/>
      <c r="Q81" s="50"/>
      <c r="R81" s="50"/>
      <c r="S81" s="49"/>
      <c r="T81" s="49"/>
      <c r="U81" s="51" t="s">
        <v>541</v>
      </c>
      <c r="V81" s="49" t="s">
        <v>227</v>
      </c>
      <c r="W81" s="47" t="s">
        <v>542</v>
      </c>
      <c r="X81" s="63"/>
    </row>
    <row r="82" spans="2:24" ht="27" hidden="1" customHeight="1" x14ac:dyDescent="0.25">
      <c r="B82" s="56" t="str">
        <f t="shared" ca="1" si="4"/>
        <v>Prazo de Retorno Vencido</v>
      </c>
      <c r="C82" s="66" t="str">
        <f ca="1">IF(B82="Finalizado","Ok",IF(IF(M82="",_xlfn.DAYS(TODAY(),J82),_xlfn.DAYS(TODAY(),M82))&gt;1,IF(M82="",_xlfn.DAYS(TODAY(),J82),_xlfn.DAYS(TODAY(),M82))&amp;" Dias",IF(M82="",_xlfn.DAYS(TODAY(),J82),_xlfn.DAYS(TODAY(),M82))&amp;" Dia"))</f>
        <v>485 Dias</v>
      </c>
      <c r="D82" s="67" t="s">
        <v>538</v>
      </c>
      <c r="E82" s="68" t="s">
        <v>543</v>
      </c>
      <c r="F82" s="69" t="s">
        <v>87</v>
      </c>
      <c r="G82" s="69" t="s">
        <v>540</v>
      </c>
      <c r="H82" s="70" t="s">
        <v>544</v>
      </c>
      <c r="I82" s="69">
        <v>4</v>
      </c>
      <c r="J82" s="71">
        <v>45677</v>
      </c>
      <c r="K82" s="72"/>
      <c r="L82" s="73"/>
      <c r="M82" s="72"/>
      <c r="N82" s="75"/>
      <c r="O82" s="72"/>
      <c r="P82" s="72"/>
      <c r="Q82" s="74"/>
      <c r="R82" s="74"/>
      <c r="S82" s="72"/>
      <c r="T82" s="72"/>
      <c r="U82" s="75" t="s">
        <v>545</v>
      </c>
      <c r="V82" s="72" t="s">
        <v>219</v>
      </c>
      <c r="W82" s="70">
        <v>566214</v>
      </c>
      <c r="X82" s="76"/>
    </row>
  </sheetData>
  <conditionalFormatting sqref="B5:X82">
    <cfRule type="expression" dxfId="4" priority="40">
      <formula>$X5&lt;&gt;""</formula>
    </cfRule>
    <cfRule type="expression" dxfId="3" priority="41">
      <formula>AND($O5&lt;&gt;"")</formula>
    </cfRule>
    <cfRule type="expression" dxfId="2" priority="42">
      <formula>AND($N5&gt;=3)</formula>
    </cfRule>
    <cfRule type="expression" dxfId="1" priority="43">
      <formula>AND($N5=$J5,$J5&lt;&gt;"")</formula>
    </cfRule>
    <cfRule type="expression" dxfId="0" priority="44">
      <formula>AND($M5&lt;TODAY(),$M5&lt;&gt;"")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C8BB2-2AC9-4274-A2FB-EA6EED719E4C}">
  <sheetPr codeName="Planilha4">
    <tabColor theme="0" tint="-4.9989318521683403E-2"/>
  </sheetPr>
  <dimension ref="B3:D31"/>
  <sheetViews>
    <sheetView workbookViewId="0">
      <selection activeCell="D10" sqref="D10"/>
    </sheetView>
  </sheetViews>
  <sheetFormatPr defaultRowHeight="15" x14ac:dyDescent="0.25"/>
  <cols>
    <col min="2" max="2" width="25.42578125" customWidth="1"/>
    <col min="4" max="4" width="32.28515625" bestFit="1" customWidth="1"/>
  </cols>
  <sheetData>
    <row r="3" spans="2:4" x14ac:dyDescent="0.25">
      <c r="B3" t="s">
        <v>546</v>
      </c>
    </row>
    <row r="4" spans="2:4" x14ac:dyDescent="0.25">
      <c r="B4" t="s">
        <v>547</v>
      </c>
      <c r="D4" t="s">
        <v>548</v>
      </c>
    </row>
    <row r="5" spans="2:4" x14ac:dyDescent="0.25">
      <c r="B5" t="s">
        <v>549</v>
      </c>
      <c r="D5" t="s">
        <v>246</v>
      </c>
    </row>
    <row r="6" spans="2:4" x14ac:dyDescent="0.25">
      <c r="B6" t="s">
        <v>550</v>
      </c>
      <c r="D6" t="s">
        <v>272</v>
      </c>
    </row>
    <row r="7" spans="2:4" x14ac:dyDescent="0.25">
      <c r="B7" t="s">
        <v>551</v>
      </c>
      <c r="D7" t="s">
        <v>552</v>
      </c>
    </row>
    <row r="8" spans="2:4" x14ac:dyDescent="0.25">
      <c r="B8" t="s">
        <v>553</v>
      </c>
      <c r="D8" t="s">
        <v>554</v>
      </c>
    </row>
    <row r="9" spans="2:4" x14ac:dyDescent="0.25">
      <c r="B9" t="s">
        <v>45</v>
      </c>
      <c r="D9" t="s">
        <v>33</v>
      </c>
    </row>
    <row r="10" spans="2:4" x14ac:dyDescent="0.25">
      <c r="B10" t="s">
        <v>555</v>
      </c>
      <c r="D10" t="s">
        <v>556</v>
      </c>
    </row>
    <row r="11" spans="2:4" x14ac:dyDescent="0.25">
      <c r="B11" t="s">
        <v>557</v>
      </c>
      <c r="D11" t="s">
        <v>558</v>
      </c>
    </row>
    <row r="12" spans="2:4" x14ac:dyDescent="0.25">
      <c r="B12" t="s">
        <v>559</v>
      </c>
      <c r="D12" t="s">
        <v>560</v>
      </c>
    </row>
    <row r="13" spans="2:4" x14ac:dyDescent="0.25">
      <c r="B13" t="s">
        <v>561</v>
      </c>
    </row>
    <row r="14" spans="2:4" x14ac:dyDescent="0.25">
      <c r="B14" t="s">
        <v>562</v>
      </c>
    </row>
    <row r="15" spans="2:4" x14ac:dyDescent="0.25">
      <c r="B15" t="s">
        <v>563</v>
      </c>
    </row>
    <row r="16" spans="2:4" x14ac:dyDescent="0.25">
      <c r="B16" t="s">
        <v>564</v>
      </c>
    </row>
    <row r="17" spans="2:2" x14ac:dyDescent="0.25">
      <c r="B17" t="s">
        <v>565</v>
      </c>
    </row>
    <row r="18" spans="2:2" x14ac:dyDescent="0.25">
      <c r="B18" t="s">
        <v>566</v>
      </c>
    </row>
    <row r="19" spans="2:2" x14ac:dyDescent="0.25">
      <c r="B19" t="s">
        <v>567</v>
      </c>
    </row>
    <row r="20" spans="2:2" x14ac:dyDescent="0.25">
      <c r="B20" t="s">
        <v>568</v>
      </c>
    </row>
    <row r="21" spans="2:2" x14ac:dyDescent="0.25">
      <c r="B21" t="s">
        <v>569</v>
      </c>
    </row>
    <row r="22" spans="2:2" x14ac:dyDescent="0.25">
      <c r="B22" t="s">
        <v>570</v>
      </c>
    </row>
    <row r="23" spans="2:2" x14ac:dyDescent="0.25">
      <c r="B23" t="s">
        <v>39</v>
      </c>
    </row>
    <row r="24" spans="2:2" x14ac:dyDescent="0.25">
      <c r="B24" t="s">
        <v>571</v>
      </c>
    </row>
    <row r="25" spans="2:2" x14ac:dyDescent="0.25">
      <c r="B25" t="s">
        <v>47</v>
      </c>
    </row>
    <row r="26" spans="2:2" x14ac:dyDescent="0.25">
      <c r="B26" t="s">
        <v>572</v>
      </c>
    </row>
    <row r="27" spans="2:2" x14ac:dyDescent="0.25">
      <c r="B27" t="s">
        <v>573</v>
      </c>
    </row>
    <row r="28" spans="2:2" x14ac:dyDescent="0.25">
      <c r="B28" t="s">
        <v>574</v>
      </c>
    </row>
    <row r="29" spans="2:2" x14ac:dyDescent="0.25">
      <c r="B29" t="s">
        <v>32</v>
      </c>
    </row>
    <row r="30" spans="2:2" x14ac:dyDescent="0.25">
      <c r="B30" t="s">
        <v>575</v>
      </c>
    </row>
    <row r="31" spans="2:2" x14ac:dyDescent="0.25">
      <c r="B31" t="s">
        <v>576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C9D0F-36EE-4166-B293-5BC290699032}">
  <sheetPr codeName="Planilha5"/>
  <dimension ref="A1:A12"/>
  <sheetViews>
    <sheetView workbookViewId="0">
      <selection sqref="A1:C12"/>
    </sheetView>
  </sheetViews>
  <sheetFormatPr defaultRowHeight="15" x14ac:dyDescent="0.25"/>
  <sheetData>
    <row r="1" spans="1:1" x14ac:dyDescent="0.25">
      <c r="A1" s="11"/>
    </row>
    <row r="2" spans="1:1" x14ac:dyDescent="0.25">
      <c r="A2" s="11"/>
    </row>
    <row r="3" spans="1:1" x14ac:dyDescent="0.25">
      <c r="A3" s="11"/>
    </row>
    <row r="4" spans="1:1" x14ac:dyDescent="0.25">
      <c r="A4" s="11"/>
    </row>
    <row r="5" spans="1:1" x14ac:dyDescent="0.25">
      <c r="A5" s="11"/>
    </row>
    <row r="6" spans="1:1" x14ac:dyDescent="0.25">
      <c r="A6" s="11"/>
    </row>
    <row r="7" spans="1:1" x14ac:dyDescent="0.25">
      <c r="A7" s="11"/>
    </row>
    <row r="8" spans="1:1" x14ac:dyDescent="0.25">
      <c r="A8" s="11"/>
    </row>
    <row r="9" spans="1:1" x14ac:dyDescent="0.25">
      <c r="A9" s="11"/>
    </row>
    <row r="10" spans="1:1" x14ac:dyDescent="0.25">
      <c r="A10" s="11"/>
    </row>
    <row r="11" spans="1:1" x14ac:dyDescent="0.25">
      <c r="A11" s="11"/>
    </row>
    <row r="12" spans="1:1" x14ac:dyDescent="0.25">
      <c r="A12" s="11"/>
    </row>
  </sheetData>
  <customSheetViews>
    <customSheetView guid="{1C22F7F7-9579-4EB5-A8CA-D350C0762604}" state="hidden">
      <selection sqref="A1:C12"/>
      <pageMargins left="0" right="0" top="0" bottom="0" header="0" footer="0"/>
    </customSheetView>
    <customSheetView guid="{4851D30D-70CC-42AC-B172-191FDE9985B7}" state="hidden">
      <selection sqref="A1:C12"/>
      <pageMargins left="0" right="0" top="0" bottom="0" header="0" footer="0"/>
    </customSheetView>
    <customSheetView guid="{362E84E2-8AFF-423C-A554-5ADC2CF2A51F}" state="hidden">
      <selection sqref="A1:C12"/>
      <pageMargins left="0" right="0" top="0" bottom="0" header="0" footer="0"/>
    </customSheetView>
    <customSheetView guid="{B3DC9F61-6F8B-4053-A6D8-3CCB07FE231B}" state="hidden">
      <selection sqref="A1:C12"/>
      <pageMargins left="0" right="0" top="0" bottom="0" header="0" footer="0"/>
    </customSheetView>
    <customSheetView guid="{F4DA6BDC-F45B-40AD-8B61-EF621B910826}" state="hidden">
      <selection sqref="A1:C12"/>
      <pageMargins left="0" right="0" top="0" bottom="0" header="0" footer="0"/>
    </customSheetView>
  </customSheetView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CARTAS CONVITE</vt:lpstr>
      <vt:lpstr>GRAFICOS</vt:lpstr>
      <vt:lpstr>BASE 2024</vt:lpstr>
      <vt:lpstr>AUX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Patricia Silva</dc:creator>
  <cp:keywords/>
  <dc:description/>
  <cp:lastModifiedBy>Bruno Raphael</cp:lastModifiedBy>
  <cp:revision/>
  <dcterms:created xsi:type="dcterms:W3CDTF">2024-07-19T16:55:09Z</dcterms:created>
  <dcterms:modified xsi:type="dcterms:W3CDTF">2026-05-21T01:57:03Z</dcterms:modified>
  <cp:category/>
  <cp:contentStatus/>
</cp:coreProperties>
</file>